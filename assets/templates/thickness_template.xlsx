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/>
  <mc:AlternateContent xmlns:mc="http://schemas.openxmlformats.org/markup-compatibility/2006">
    <mc:Choice Requires="x15">
      <x15ac:absPath xmlns:x15ac="http://schemas.microsoft.com/office/spreadsheetml/2010/11/ac" url="E:\1-矿泉水项目\1-苍葭冲矿泉水\3-野外调查\2-2千地质-水文地质剖面测量\"/>
    </mc:Choice>
  </mc:AlternateContent>
  <xr:revisionPtr revIDLastSave="0" documentId="13_ncr:1_{05385540-43E2-4B36-A2DA-6247B7ACC98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5" i="1" l="1"/>
  <c r="T35" i="1"/>
  <c r="S35" i="1"/>
  <c r="R35" i="1"/>
  <c r="Q35" i="1"/>
  <c r="P35" i="1"/>
  <c r="N35" i="1"/>
  <c r="M35" i="1"/>
  <c r="L35" i="1"/>
  <c r="K35" i="1"/>
  <c r="D35" i="1"/>
  <c r="V34" i="1"/>
  <c r="T34" i="1"/>
  <c r="S34" i="1"/>
  <c r="R34" i="1"/>
  <c r="Q34" i="1"/>
  <c r="P34" i="1"/>
  <c r="N34" i="1"/>
  <c r="M34" i="1"/>
  <c r="L34" i="1"/>
  <c r="K34" i="1"/>
  <c r="D34" i="1"/>
  <c r="V33" i="1"/>
  <c r="T33" i="1"/>
  <c r="S33" i="1"/>
  <c r="R33" i="1"/>
  <c r="Q33" i="1"/>
  <c r="P33" i="1"/>
  <c r="N33" i="1"/>
  <c r="M33" i="1"/>
  <c r="L33" i="1"/>
  <c r="K33" i="1"/>
  <c r="D33" i="1"/>
  <c r="V32" i="1"/>
  <c r="T32" i="1"/>
  <c r="S32" i="1"/>
  <c r="R32" i="1"/>
  <c r="Q32" i="1"/>
  <c r="P32" i="1"/>
  <c r="N32" i="1"/>
  <c r="M32" i="1"/>
  <c r="L32" i="1"/>
  <c r="K32" i="1"/>
  <c r="D32" i="1"/>
  <c r="V31" i="1"/>
  <c r="T31" i="1"/>
  <c r="S31" i="1"/>
  <c r="R31" i="1"/>
  <c r="Q31" i="1"/>
  <c r="P31" i="1"/>
  <c r="N31" i="1"/>
  <c r="M31" i="1"/>
  <c r="L31" i="1"/>
  <c r="K31" i="1"/>
  <c r="D31" i="1"/>
  <c r="V30" i="1"/>
  <c r="T30" i="1"/>
  <c r="S30" i="1"/>
  <c r="R30" i="1"/>
  <c r="Q30" i="1"/>
  <c r="P30" i="1"/>
  <c r="N30" i="1"/>
  <c r="M30" i="1"/>
  <c r="L30" i="1"/>
  <c r="K30" i="1"/>
  <c r="D30" i="1"/>
  <c r="V29" i="1"/>
  <c r="T29" i="1"/>
  <c r="S29" i="1"/>
  <c r="R29" i="1"/>
  <c r="Q29" i="1"/>
  <c r="P29" i="1"/>
  <c r="N29" i="1"/>
  <c r="M29" i="1"/>
  <c r="L29" i="1"/>
  <c r="K29" i="1"/>
  <c r="F29" i="1"/>
  <c r="D29" i="1"/>
  <c r="V28" i="1"/>
  <c r="T28" i="1"/>
  <c r="S28" i="1"/>
  <c r="R28" i="1"/>
  <c r="Q28" i="1"/>
  <c r="P28" i="1"/>
  <c r="N28" i="1"/>
  <c r="M28" i="1"/>
  <c r="L28" i="1"/>
  <c r="K28" i="1"/>
  <c r="D28" i="1"/>
  <c r="V27" i="1"/>
  <c r="T27" i="1"/>
  <c r="S27" i="1"/>
  <c r="R27" i="1"/>
  <c r="Q27" i="1"/>
  <c r="P27" i="1"/>
  <c r="N27" i="1"/>
  <c r="M27" i="1"/>
  <c r="L27" i="1"/>
  <c r="K27" i="1"/>
  <c r="D27" i="1"/>
  <c r="V26" i="1"/>
  <c r="T26" i="1"/>
  <c r="S26" i="1"/>
  <c r="R26" i="1"/>
  <c r="Q26" i="1"/>
  <c r="P26" i="1"/>
  <c r="N26" i="1"/>
  <c r="M26" i="1"/>
  <c r="L26" i="1"/>
  <c r="K26" i="1"/>
  <c r="D26" i="1"/>
  <c r="V25" i="1"/>
  <c r="T25" i="1"/>
  <c r="S25" i="1"/>
  <c r="R25" i="1"/>
  <c r="Q25" i="1"/>
  <c r="P25" i="1"/>
  <c r="N25" i="1"/>
  <c r="M25" i="1"/>
  <c r="L25" i="1"/>
  <c r="K25" i="1"/>
  <c r="D25" i="1"/>
  <c r="V24" i="1"/>
  <c r="T24" i="1"/>
  <c r="S24" i="1"/>
  <c r="R24" i="1"/>
  <c r="Q24" i="1"/>
  <c r="P24" i="1"/>
  <c r="N24" i="1"/>
  <c r="M24" i="1"/>
  <c r="L24" i="1"/>
  <c r="K24" i="1"/>
  <c r="D24" i="1"/>
  <c r="V23" i="1"/>
  <c r="T23" i="1"/>
  <c r="S23" i="1"/>
  <c r="R23" i="1"/>
  <c r="Q23" i="1"/>
  <c r="P23" i="1"/>
  <c r="N23" i="1"/>
  <c r="M23" i="1"/>
  <c r="L23" i="1"/>
  <c r="K23" i="1"/>
  <c r="D23" i="1"/>
  <c r="V22" i="1"/>
  <c r="T22" i="1"/>
  <c r="S22" i="1"/>
  <c r="R22" i="1"/>
  <c r="Q22" i="1"/>
  <c r="P22" i="1"/>
  <c r="N22" i="1"/>
  <c r="M22" i="1"/>
  <c r="L22" i="1"/>
  <c r="K22" i="1"/>
  <c r="D22" i="1"/>
  <c r="V21" i="1"/>
  <c r="T21" i="1"/>
  <c r="S21" i="1"/>
  <c r="R21" i="1"/>
  <c r="Q21" i="1"/>
  <c r="P21" i="1"/>
  <c r="N21" i="1"/>
  <c r="M21" i="1"/>
  <c r="L21" i="1"/>
  <c r="K21" i="1"/>
  <c r="F21" i="1"/>
  <c r="D21" i="1"/>
  <c r="V20" i="1"/>
  <c r="T20" i="1"/>
  <c r="S20" i="1"/>
  <c r="R20" i="1"/>
  <c r="Q20" i="1"/>
  <c r="P20" i="1"/>
  <c r="N20" i="1"/>
  <c r="M20" i="1"/>
  <c r="L20" i="1"/>
  <c r="K20" i="1"/>
  <c r="J20" i="1"/>
  <c r="D20" i="1"/>
  <c r="V19" i="1"/>
  <c r="T19" i="1"/>
  <c r="S19" i="1"/>
  <c r="R19" i="1"/>
  <c r="Q19" i="1"/>
  <c r="P19" i="1"/>
  <c r="N19" i="1"/>
  <c r="M19" i="1"/>
  <c r="L19" i="1"/>
  <c r="K19" i="1"/>
  <c r="J19" i="1"/>
  <c r="D19" i="1"/>
  <c r="V18" i="1"/>
  <c r="T18" i="1"/>
  <c r="S18" i="1"/>
  <c r="R18" i="1"/>
  <c r="Q18" i="1"/>
  <c r="P18" i="1"/>
  <c r="N18" i="1"/>
  <c r="M18" i="1"/>
  <c r="L18" i="1"/>
  <c r="K18" i="1"/>
  <c r="J18" i="1"/>
  <c r="F18" i="1"/>
  <c r="D18" i="1"/>
  <c r="V17" i="1"/>
  <c r="T17" i="1"/>
  <c r="S17" i="1"/>
  <c r="R17" i="1"/>
  <c r="Q17" i="1"/>
  <c r="P17" i="1"/>
  <c r="N17" i="1"/>
  <c r="M17" i="1"/>
  <c r="L17" i="1"/>
  <c r="K17" i="1"/>
  <c r="F17" i="1"/>
  <c r="D17" i="1"/>
  <c r="V16" i="1"/>
  <c r="T16" i="1"/>
  <c r="S16" i="1"/>
  <c r="R16" i="1"/>
  <c r="Q16" i="1"/>
  <c r="P16" i="1"/>
  <c r="N16" i="1"/>
  <c r="M16" i="1"/>
  <c r="L16" i="1"/>
  <c r="K16" i="1"/>
  <c r="J16" i="1"/>
  <c r="D16" i="1"/>
  <c r="V15" i="1"/>
  <c r="T15" i="1"/>
  <c r="S15" i="1"/>
  <c r="R15" i="1"/>
  <c r="Q15" i="1"/>
  <c r="P15" i="1"/>
  <c r="N15" i="1"/>
  <c r="M15" i="1"/>
  <c r="L15" i="1"/>
  <c r="K15" i="1"/>
  <c r="J15" i="1"/>
  <c r="D15" i="1"/>
  <c r="V14" i="1"/>
  <c r="T14" i="1"/>
  <c r="S14" i="1"/>
  <c r="R14" i="1"/>
  <c r="Q14" i="1"/>
  <c r="P14" i="1"/>
  <c r="N14" i="1"/>
  <c r="M14" i="1"/>
  <c r="L14" i="1"/>
  <c r="K14" i="1"/>
  <c r="J14" i="1"/>
  <c r="F14" i="1"/>
  <c r="D14" i="1"/>
  <c r="T13" i="1"/>
  <c r="S13" i="1"/>
  <c r="R13" i="1"/>
  <c r="Q13" i="1"/>
  <c r="P13" i="1"/>
  <c r="N13" i="1"/>
  <c r="M13" i="1"/>
  <c r="L13" i="1"/>
  <c r="K13" i="1"/>
  <c r="D13" i="1"/>
  <c r="T12" i="1"/>
  <c r="S12" i="1"/>
  <c r="R12" i="1"/>
  <c r="Q12" i="1"/>
  <c r="P12" i="1"/>
  <c r="N12" i="1"/>
  <c r="M12" i="1"/>
  <c r="L12" i="1"/>
  <c r="K12" i="1"/>
  <c r="D12" i="1"/>
  <c r="V11" i="1"/>
  <c r="T11" i="1"/>
  <c r="S11" i="1"/>
  <c r="R11" i="1"/>
  <c r="Q11" i="1"/>
  <c r="P11" i="1"/>
  <c r="N11" i="1"/>
  <c r="M11" i="1"/>
  <c r="L11" i="1"/>
  <c r="K11" i="1"/>
  <c r="D11" i="1"/>
  <c r="V10" i="1"/>
  <c r="T10" i="1"/>
  <c r="S10" i="1"/>
  <c r="R10" i="1"/>
  <c r="Q10" i="1"/>
  <c r="P10" i="1"/>
  <c r="N10" i="1"/>
  <c r="M10" i="1"/>
  <c r="L10" i="1"/>
  <c r="K10" i="1"/>
  <c r="D10" i="1"/>
  <c r="V9" i="1"/>
  <c r="T9" i="1"/>
  <c r="S9" i="1"/>
  <c r="R9" i="1"/>
  <c r="Q9" i="1"/>
  <c r="P9" i="1"/>
  <c r="N9" i="1"/>
  <c r="M9" i="1"/>
  <c r="L9" i="1"/>
  <c r="K9" i="1"/>
  <c r="D9" i="1"/>
  <c r="V8" i="1"/>
  <c r="T8" i="1"/>
  <c r="S8" i="1"/>
  <c r="R8" i="1"/>
  <c r="Q8" i="1"/>
  <c r="P8" i="1"/>
  <c r="N8" i="1"/>
  <c r="M8" i="1"/>
  <c r="L8" i="1"/>
  <c r="K8" i="1"/>
  <c r="D8" i="1"/>
  <c r="V7" i="1"/>
  <c r="T7" i="1"/>
  <c r="S7" i="1"/>
  <c r="R7" i="1"/>
  <c r="Q7" i="1"/>
  <c r="P7" i="1"/>
  <c r="N7" i="1"/>
  <c r="M7" i="1"/>
  <c r="L7" i="1"/>
  <c r="K7" i="1"/>
  <c r="D7" i="1"/>
  <c r="V6" i="1"/>
  <c r="T6" i="1"/>
  <c r="S6" i="1"/>
  <c r="R6" i="1"/>
  <c r="Q6" i="1"/>
  <c r="P6" i="1"/>
  <c r="N6" i="1"/>
  <c r="M6" i="1"/>
  <c r="L6" i="1"/>
  <c r="K6" i="1"/>
  <c r="D6" i="1"/>
  <c r="V5" i="1"/>
  <c r="T5" i="1"/>
  <c r="S5" i="1"/>
  <c r="R5" i="1"/>
  <c r="Q5" i="1"/>
  <c r="P5" i="1"/>
  <c r="N5" i="1"/>
  <c r="M5" i="1"/>
  <c r="L5" i="1"/>
  <c r="K5" i="1"/>
  <c r="F5" i="1"/>
  <c r="D5" i="1"/>
  <c r="V4" i="1"/>
  <c r="T4" i="1"/>
  <c r="S4" i="1"/>
  <c r="R4" i="1"/>
  <c r="Q4" i="1"/>
  <c r="P4" i="1"/>
  <c r="N4" i="1"/>
  <c r="M4" i="1"/>
  <c r="L4" i="1"/>
  <c r="K4" i="1"/>
  <c r="D4" i="1"/>
</calcChain>
</file>

<file path=xl/sharedStrings.xml><?xml version="1.0" encoding="utf-8"?>
<sst xmlns="http://schemas.openxmlformats.org/spreadsheetml/2006/main" count="91" uniqueCount="55">
  <si>
    <t>剖面地层厚度计算表</t>
  </si>
  <si>
    <r>
      <rPr>
        <sz val="11"/>
        <color theme="1"/>
        <rFont val="宋体"/>
        <charset val="134"/>
      </rPr>
      <t>导线号</t>
    </r>
  </si>
  <si>
    <r>
      <rPr>
        <sz val="11"/>
        <color theme="1"/>
        <rFont val="宋体"/>
        <charset val="134"/>
      </rPr>
      <t>导线方向</t>
    </r>
  </si>
  <si>
    <r>
      <rPr>
        <sz val="11"/>
        <color theme="1"/>
        <rFont val="宋体"/>
        <charset val="134"/>
      </rPr>
      <t>导线斜距</t>
    </r>
  </si>
  <si>
    <r>
      <rPr>
        <sz val="11"/>
        <color theme="1"/>
        <rFont val="宋体"/>
        <charset val="134"/>
      </rPr>
      <t>累计斜距</t>
    </r>
  </si>
  <si>
    <r>
      <rPr>
        <sz val="11"/>
        <color theme="1"/>
        <rFont val="宋体"/>
        <charset val="134"/>
      </rPr>
      <t>分层位置</t>
    </r>
  </si>
  <si>
    <r>
      <rPr>
        <sz val="11"/>
        <color theme="1"/>
        <rFont val="宋体"/>
        <charset val="134"/>
      </rPr>
      <t>斜距（</t>
    </r>
    <r>
      <rPr>
        <sz val="11"/>
        <color theme="1"/>
        <rFont val="Times New Roman"/>
        <family val="1"/>
      </rPr>
      <t>L</t>
    </r>
    <r>
      <rPr>
        <sz val="11"/>
        <color theme="1"/>
        <rFont val="宋体"/>
        <charset val="134"/>
      </rPr>
      <t>）</t>
    </r>
  </si>
  <si>
    <r>
      <t>坡角（</t>
    </r>
    <r>
      <rPr>
        <sz val="11"/>
        <color theme="1"/>
        <rFont val="Times New Roman"/>
        <family val="1"/>
      </rPr>
      <t>β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</si>
  <si>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宋体"/>
        <charset val="134"/>
      </rPr>
      <t>岩层产状</t>
    </r>
  </si>
  <si>
    <r>
      <rPr>
        <sz val="10.55"/>
        <color rgb="FF000000"/>
        <rFont val="宋体"/>
        <charset val="134"/>
      </rPr>
      <t>岩层倾向与剖面线夹角</t>
    </r>
    <r>
      <rPr>
        <sz val="10.55"/>
        <color rgb="FF000000"/>
        <rFont val="Times New Roman"/>
        <family val="1"/>
      </rPr>
      <t>γ</t>
    </r>
  </si>
  <si>
    <t>Y=sinα·cosβ·cosγ±cosα·sinβ</t>
  </si>
  <si>
    <r>
      <rPr>
        <sz val="11"/>
        <color theme="1"/>
        <rFont val="宋体"/>
        <charset val="134"/>
      </rPr>
      <t>真厚度</t>
    </r>
    <r>
      <rPr>
        <sz val="11"/>
        <color theme="1"/>
        <rFont val="Times New Roman"/>
        <family val="1"/>
      </rPr>
      <t xml:space="preserve">
(m) 
D=L·Y</t>
    </r>
  </si>
  <si>
    <r>
      <rPr>
        <sz val="11"/>
        <color theme="1"/>
        <rFont val="宋体"/>
        <charset val="134"/>
      </rPr>
      <t>分层代号</t>
    </r>
  </si>
  <si>
    <r>
      <rPr>
        <sz val="11"/>
        <color theme="1"/>
        <rFont val="宋体"/>
        <charset val="134"/>
      </rPr>
      <t>分层累计厚度</t>
    </r>
  </si>
  <si>
    <r>
      <rPr>
        <sz val="11"/>
        <color theme="1"/>
        <rFont val="宋体"/>
        <charset val="134"/>
      </rPr>
      <t>倾向</t>
    </r>
  </si>
  <si>
    <r>
      <rPr>
        <sz val="11"/>
        <color theme="1"/>
        <rFont val="宋体"/>
        <charset val="134"/>
      </rPr>
      <t>倾角</t>
    </r>
    <r>
      <rPr>
        <sz val="11"/>
        <color theme="1"/>
        <rFont val="Times New Roman"/>
        <family val="1"/>
      </rPr>
      <t>α</t>
    </r>
  </si>
  <si>
    <t>sinα</t>
  </si>
  <si>
    <t>cosβ</t>
  </si>
  <si>
    <t>cosγ</t>
  </si>
  <si>
    <r>
      <rPr>
        <sz val="11"/>
        <color theme="1"/>
        <rFont val="宋体"/>
        <charset val="134"/>
      </rPr>
      <t>积</t>
    </r>
  </si>
  <si>
    <t>±</t>
  </si>
  <si>
    <t>cosα</t>
  </si>
  <si>
    <t>sinβ</t>
  </si>
  <si>
    <t>Y</t>
  </si>
  <si>
    <t>0-1</t>
  </si>
  <si>
    <t>+</t>
  </si>
  <si>
    <r>
      <rPr>
        <b/>
        <sz val="11"/>
        <color theme="1"/>
        <rFont val="Times New Roman"/>
        <family val="1"/>
      </rPr>
      <t>Qh</t>
    </r>
    <r>
      <rPr>
        <b/>
        <vertAlign val="superscript"/>
        <sz val="11"/>
        <color theme="1"/>
        <rFont val="Times New Roman"/>
        <family val="1"/>
      </rPr>
      <t>edl</t>
    </r>
  </si>
  <si>
    <r>
      <rPr>
        <b/>
        <sz val="11"/>
        <color theme="1"/>
        <rFont val="Times New Roman"/>
        <family val="1"/>
      </rPr>
      <t>K</t>
    </r>
    <r>
      <rPr>
        <b/>
        <vertAlign val="subscript"/>
        <sz val="11"/>
        <color theme="1"/>
        <rFont val="Times New Roman"/>
        <family val="1"/>
      </rPr>
      <t>1</t>
    </r>
    <r>
      <rPr>
        <b/>
        <sz val="11"/>
        <color theme="1"/>
        <rFont val="Times New Roman"/>
        <family val="1"/>
      </rPr>
      <t>ηγ</t>
    </r>
  </si>
  <si>
    <t>1-2</t>
  </si>
  <si>
    <t>2-3</t>
  </si>
  <si>
    <t>3-4</t>
  </si>
  <si>
    <t>4-5</t>
  </si>
  <si>
    <t>5-6</t>
  </si>
  <si>
    <t>6-7</t>
  </si>
  <si>
    <t>7-8</t>
  </si>
  <si>
    <t>8-9</t>
  </si>
  <si>
    <r>
      <rPr>
        <b/>
        <sz val="11"/>
        <color theme="1"/>
        <rFont val="Times New Roman"/>
        <family val="1"/>
      </rPr>
      <t>Ar</t>
    </r>
    <r>
      <rPr>
        <b/>
        <vertAlign val="subscript"/>
        <sz val="11"/>
        <color theme="1"/>
        <rFont val="Times New Roman"/>
        <family val="1"/>
      </rPr>
      <t>3</t>
    </r>
    <r>
      <rPr>
        <b/>
        <sz val="11"/>
        <color theme="1"/>
        <rFont val="Times New Roman"/>
        <family val="1"/>
      </rPr>
      <t>m</t>
    </r>
  </si>
  <si>
    <t>9-10</t>
  </si>
  <si>
    <t>10-11</t>
  </si>
  <si>
    <t>ηγ</t>
  </si>
  <si>
    <t>11-12</t>
  </si>
  <si>
    <t>12-13</t>
  </si>
  <si>
    <t>13-14</t>
  </si>
  <si>
    <t>14-15</t>
  </si>
  <si>
    <t>15-16</t>
  </si>
  <si>
    <t>16-17</t>
  </si>
  <si>
    <t>17-18</t>
  </si>
  <si>
    <t>18-19</t>
  </si>
  <si>
    <t>19-20</t>
  </si>
  <si>
    <t>20-21</t>
  </si>
  <si>
    <t>21-22</t>
  </si>
  <si>
    <t>22-23</t>
  </si>
  <si>
    <t>23-24</t>
  </si>
  <si>
    <t>24-25</t>
  </si>
  <si>
    <t>25-26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</si>
</sst>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_ "/>
  </numFmts>
  <fonts count="10" x14ac:knownFonts="1">
    <font>
      <sz val="11"/>
      <color theme="1"/>
      <name val="宋体"/>
      <charset val="134"/>
      <scheme val="minor"/>
    </font>
    <font>
      <sz val="11"/>
      <color theme="1"/>
      <name val="Times New Roman"/>
      <family val="1"/>
    </font>
    <font>
      <b/>
      <sz val="22"/>
      <color theme="1"/>
      <name val="宋体"/>
      <charset val="134"/>
    </font>
    <font>
      <sz val="11"/>
      <color theme="1"/>
      <name val="宋体"/>
      <charset val="134"/>
    </font>
    <font>
      <sz val="10.55"/>
      <color rgb="FF000000"/>
      <name val="Times New Roman"/>
      <family val="1"/>
    </font>
    <font>
      <b/>
      <sz val="11"/>
      <color theme="1"/>
      <name val="Times New Roman"/>
      <family val="1"/>
    </font>
    <font>
      <b/>
      <vertAlign val="subscript"/>
      <sz val="11"/>
      <color theme="1"/>
      <name val="Times New Roman"/>
      <family val="1"/>
    </font>
    <font>
      <b/>
      <vertAlign val="superscript"/>
      <sz val="11"/>
      <color theme="1"/>
      <name val="Times New Roman"/>
      <family val="1"/>
    </font>
    <font>
      <sz val="10.55"/>
      <color rgb="FF000000"/>
      <name val="宋体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1" fillId="0" borderId="0" xfId="0" applyFont="1">
      <alignment vertical="center"/>
    </xf>
    <xf numFmtId="178" fontId="1" fillId="0" borderId="0" xfId="0" applyNumberFormat="1" applyFont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49" fontId="1" fillId="0" borderId="12" xfId="0" applyNumberFormat="1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178" fontId="1" fillId="0" borderId="6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78" fontId="1" fillId="0" borderId="9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78" fontId="1" fillId="0" borderId="5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78" fontId="1" fillId="0" borderId="21" xfId="0" applyNumberFormat="1" applyFont="1" applyBorder="1" applyAlignment="1">
      <alignment horizontal="center" vertical="center"/>
    </xf>
    <xf numFmtId="178" fontId="1" fillId="0" borderId="22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178" fontId="1" fillId="0" borderId="23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78" fontId="1" fillId="0" borderId="3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49" fontId="1" fillId="0" borderId="13" xfId="0" applyNumberFormat="1" applyFont="1" applyBorder="1" applyAlignment="1">
      <alignment horizontal="center" vertical="center"/>
    </xf>
    <xf numFmtId="49" fontId="1" fillId="0" borderId="10" xfId="0" applyNumberFormat="1" applyFont="1" applyBorder="1" applyAlignment="1">
      <alignment horizontal="center" vertical="center"/>
    </xf>
    <xf numFmtId="49" fontId="1" fillId="0" borderId="7" xfId="0" applyNumberFormat="1" applyFont="1" applyBorder="1" applyAlignment="1">
      <alignment horizontal="center" vertical="center"/>
    </xf>
    <xf numFmtId="49" fontId="1" fillId="0" borderId="12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78" fontId="1" fillId="0" borderId="19" xfId="0" applyNumberFormat="1" applyFont="1" applyBorder="1" applyAlignment="1">
      <alignment horizontal="center" vertical="center"/>
    </xf>
    <xf numFmtId="178" fontId="1" fillId="0" borderId="20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35"/>
  <sheetViews>
    <sheetView tabSelected="1" workbookViewId="0">
      <selection activeCell="I10" sqref="I10"/>
    </sheetView>
  </sheetViews>
  <sheetFormatPr defaultColWidth="9" defaultRowHeight="15" x14ac:dyDescent="0.15"/>
  <cols>
    <col min="1" max="6" width="9" style="1"/>
    <col min="7" max="7" width="9.625" style="1" customWidth="1"/>
    <col min="8" max="9" width="9" style="1"/>
    <col min="10" max="10" width="19.375" style="1" customWidth="1"/>
    <col min="11" max="19" width="8.625" style="2" customWidth="1"/>
    <col min="20" max="20" width="10.625" style="1" customWidth="1"/>
    <col min="21" max="21" width="9" style="1"/>
    <col min="22" max="22" width="14.625" style="2" customWidth="1"/>
    <col min="23" max="16384" width="9" style="1"/>
  </cols>
  <sheetData>
    <row r="1" spans="1:22" ht="39.950000000000003" customHeight="1" x14ac:dyDescent="0.15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2"/>
      <c r="L1" s="22"/>
      <c r="M1" s="22"/>
      <c r="N1" s="22"/>
      <c r="O1" s="22"/>
      <c r="P1" s="22"/>
      <c r="Q1" s="22"/>
      <c r="R1" s="22"/>
      <c r="S1" s="22"/>
      <c r="T1" s="21"/>
      <c r="U1" s="21"/>
      <c r="V1" s="22"/>
    </row>
    <row r="2" spans="1:22" ht="18.95" customHeight="1" x14ac:dyDescent="0.15">
      <c r="A2" s="25" t="s">
        <v>1</v>
      </c>
      <c r="B2" s="34" t="s">
        <v>2</v>
      </c>
      <c r="C2" s="34" t="s">
        <v>3</v>
      </c>
      <c r="D2" s="34" t="s">
        <v>4</v>
      </c>
      <c r="E2" s="34" t="s">
        <v>5</v>
      </c>
      <c r="F2" s="34" t="s">
        <v>6</v>
      </c>
      <c r="G2" s="41" t="s">
        <v>7</v>
      </c>
      <c r="H2" s="23" t="s">
        <v>8</v>
      </c>
      <c r="I2" s="23"/>
      <c r="J2" s="42" t="s">
        <v>9</v>
      </c>
      <c r="K2" s="24" t="s">
        <v>10</v>
      </c>
      <c r="L2" s="24"/>
      <c r="M2" s="24"/>
      <c r="N2" s="24"/>
      <c r="O2" s="24"/>
      <c r="P2" s="24"/>
      <c r="Q2" s="24"/>
      <c r="R2" s="24"/>
      <c r="S2" s="24"/>
      <c r="T2" s="44" t="s">
        <v>11</v>
      </c>
      <c r="U2" s="34" t="s">
        <v>12</v>
      </c>
      <c r="V2" s="50" t="s">
        <v>13</v>
      </c>
    </row>
    <row r="3" spans="1:22" ht="24.75" customHeight="1" x14ac:dyDescent="0.15">
      <c r="A3" s="26"/>
      <c r="B3" s="35"/>
      <c r="C3" s="35"/>
      <c r="D3" s="35"/>
      <c r="E3" s="35"/>
      <c r="F3" s="35"/>
      <c r="G3" s="35"/>
      <c r="H3" s="3" t="s">
        <v>14</v>
      </c>
      <c r="I3" s="3" t="s">
        <v>15</v>
      </c>
      <c r="J3" s="43"/>
      <c r="K3" s="10" t="s">
        <v>16</v>
      </c>
      <c r="L3" s="10" t="s">
        <v>17</v>
      </c>
      <c r="M3" s="10" t="s">
        <v>18</v>
      </c>
      <c r="N3" s="10" t="s">
        <v>19</v>
      </c>
      <c r="O3" s="10" t="s">
        <v>20</v>
      </c>
      <c r="P3" s="10" t="s">
        <v>21</v>
      </c>
      <c r="Q3" s="10" t="s">
        <v>22</v>
      </c>
      <c r="R3" s="10" t="s">
        <v>19</v>
      </c>
      <c r="S3" s="10" t="s">
        <v>23</v>
      </c>
      <c r="T3" s="45"/>
      <c r="U3" s="35"/>
      <c r="V3" s="51"/>
    </row>
    <row r="4" spans="1:22" ht="18" customHeight="1" x14ac:dyDescent="0.15">
      <c r="A4" s="27" t="s">
        <v>24</v>
      </c>
      <c r="B4" s="36">
        <v>150</v>
      </c>
      <c r="C4" s="36">
        <v>52</v>
      </c>
      <c r="D4" s="4">
        <f>F4</f>
        <v>49</v>
      </c>
      <c r="E4" s="4">
        <v>0</v>
      </c>
      <c r="F4" s="4">
        <v>49</v>
      </c>
      <c r="G4" s="36">
        <v>8</v>
      </c>
      <c r="H4" s="4"/>
      <c r="I4" s="4"/>
      <c r="J4" s="11"/>
      <c r="K4" s="12">
        <f t="shared" ref="K4:K35" si="0">SIN(I4*PI()/180)</f>
        <v>0</v>
      </c>
      <c r="L4" s="12">
        <f>COS(G4*PI()/180)</f>
        <v>0.99026806874157003</v>
      </c>
      <c r="M4" s="12">
        <f t="shared" ref="M4:M35" si="1">COS(J4*PI()/180)</f>
        <v>1</v>
      </c>
      <c r="N4" s="12">
        <f t="shared" ref="N4:N35" si="2">K4*L4*M4</f>
        <v>0</v>
      </c>
      <c r="O4" s="12" t="s">
        <v>25</v>
      </c>
      <c r="P4" s="12">
        <f t="shared" ref="P4:P35" si="3">COS(I4*PI()/180)</f>
        <v>1</v>
      </c>
      <c r="Q4" s="12">
        <f>SIN(G4*PI()/180)</f>
        <v>0.13917310096006499</v>
      </c>
      <c r="R4" s="12">
        <f t="shared" ref="R4:R35" si="4">P4*Q4</f>
        <v>0.13917310096006499</v>
      </c>
      <c r="S4" s="12">
        <f t="shared" ref="S4:S35" si="5">K4*L4*M4+P4*Q4</f>
        <v>0.13917310096006499</v>
      </c>
      <c r="T4" s="12">
        <f t="shared" ref="T4:T35" si="6">F4*Q4</f>
        <v>6.8194819470432098</v>
      </c>
      <c r="U4" s="15" t="s">
        <v>26</v>
      </c>
      <c r="V4" s="16">
        <f>T4</f>
        <v>6.8194819470432098</v>
      </c>
    </row>
    <row r="5" spans="1:22" ht="18" customHeight="1" x14ac:dyDescent="0.15">
      <c r="A5" s="28"/>
      <c r="B5" s="37"/>
      <c r="C5" s="37"/>
      <c r="D5" s="5">
        <f>D4+F5</f>
        <v>52</v>
      </c>
      <c r="E5" s="4">
        <v>49</v>
      </c>
      <c r="F5" s="4">
        <f>C4-E5</f>
        <v>3</v>
      </c>
      <c r="G5" s="37"/>
      <c r="H5" s="4"/>
      <c r="I5" s="4"/>
      <c r="J5" s="11"/>
      <c r="K5" s="12">
        <f t="shared" si="0"/>
        <v>0</v>
      </c>
      <c r="L5" s="12">
        <f>COS(G4*PI()/180)</f>
        <v>0.99026806874157003</v>
      </c>
      <c r="M5" s="12">
        <f t="shared" si="1"/>
        <v>1</v>
      </c>
      <c r="N5" s="12">
        <f t="shared" si="2"/>
        <v>0</v>
      </c>
      <c r="O5" s="12" t="s">
        <v>25</v>
      </c>
      <c r="P5" s="12">
        <f t="shared" si="3"/>
        <v>1</v>
      </c>
      <c r="Q5" s="12">
        <f>SIN(G4*PI()/180)</f>
        <v>0.13917310096006499</v>
      </c>
      <c r="R5" s="12">
        <f t="shared" si="4"/>
        <v>0.13917310096006499</v>
      </c>
      <c r="S5" s="12">
        <f t="shared" si="5"/>
        <v>0.13917310096006499</v>
      </c>
      <c r="T5" s="12">
        <f t="shared" si="6"/>
        <v>0.41751930288019601</v>
      </c>
      <c r="U5" s="46" t="s">
        <v>27</v>
      </c>
      <c r="V5" s="16">
        <f>T5</f>
        <v>0.41751930288019601</v>
      </c>
    </row>
    <row r="6" spans="1:22" ht="18" customHeight="1" x14ac:dyDescent="0.15">
      <c r="A6" s="6" t="s">
        <v>28</v>
      </c>
      <c r="B6" s="5">
        <v>170</v>
      </c>
      <c r="C6" s="5">
        <v>24</v>
      </c>
      <c r="D6" s="5">
        <f>F6+D5</f>
        <v>76</v>
      </c>
      <c r="E6" s="5"/>
      <c r="F6" s="5">
        <v>24</v>
      </c>
      <c r="G6" s="5">
        <v>19</v>
      </c>
      <c r="H6" s="4"/>
      <c r="I6" s="4"/>
      <c r="J6" s="11"/>
      <c r="K6" s="12">
        <f t="shared" si="0"/>
        <v>0</v>
      </c>
      <c r="L6" s="12">
        <f t="shared" ref="L6:L13" si="7">COS(G6*PI()/180)</f>
        <v>0.94551857559931696</v>
      </c>
      <c r="M6" s="12">
        <f t="shared" si="1"/>
        <v>1</v>
      </c>
      <c r="N6" s="12">
        <f t="shared" si="2"/>
        <v>0</v>
      </c>
      <c r="O6" s="12" t="s">
        <v>25</v>
      </c>
      <c r="P6" s="12">
        <f t="shared" si="3"/>
        <v>1</v>
      </c>
      <c r="Q6" s="12">
        <f t="shared" ref="Q6:Q13" si="8">SIN(G6*PI()/180)</f>
        <v>0.32556815445715698</v>
      </c>
      <c r="R6" s="12">
        <f t="shared" si="4"/>
        <v>0.32556815445715698</v>
      </c>
      <c r="S6" s="12">
        <f t="shared" si="5"/>
        <v>0.32556815445715698</v>
      </c>
      <c r="T6" s="12">
        <f t="shared" si="6"/>
        <v>7.8136357069717599</v>
      </c>
      <c r="U6" s="46"/>
      <c r="V6" s="17">
        <f>V5+T6</f>
        <v>8.2311550098519604</v>
      </c>
    </row>
    <row r="7" spans="1:22" ht="18" customHeight="1" x14ac:dyDescent="0.15">
      <c r="A7" s="6" t="s">
        <v>29</v>
      </c>
      <c r="B7" s="5">
        <v>151</v>
      </c>
      <c r="C7" s="5">
        <v>23</v>
      </c>
      <c r="D7" s="5">
        <f t="shared" ref="D7:D35" si="9">F7+D6</f>
        <v>136</v>
      </c>
      <c r="E7" s="5"/>
      <c r="F7" s="5">
        <v>60</v>
      </c>
      <c r="G7" s="5">
        <v>23</v>
      </c>
      <c r="H7" s="4"/>
      <c r="I7" s="4"/>
      <c r="J7" s="13"/>
      <c r="K7" s="12">
        <f t="shared" si="0"/>
        <v>0</v>
      </c>
      <c r="L7" s="12">
        <f t="shared" si="7"/>
        <v>0.92050485345244004</v>
      </c>
      <c r="M7" s="12">
        <f t="shared" si="1"/>
        <v>1</v>
      </c>
      <c r="N7" s="12">
        <f t="shared" si="2"/>
        <v>0</v>
      </c>
      <c r="O7" s="12" t="s">
        <v>25</v>
      </c>
      <c r="P7" s="12">
        <f t="shared" si="3"/>
        <v>1</v>
      </c>
      <c r="Q7" s="12">
        <f t="shared" si="8"/>
        <v>0.39073112848927399</v>
      </c>
      <c r="R7" s="12">
        <f t="shared" si="4"/>
        <v>0.39073112848927399</v>
      </c>
      <c r="S7" s="12">
        <f t="shared" si="5"/>
        <v>0.39073112848927399</v>
      </c>
      <c r="T7" s="12">
        <f t="shared" si="6"/>
        <v>23.4438677093564</v>
      </c>
      <c r="U7" s="46"/>
      <c r="V7" s="17">
        <f>V6+T7</f>
        <v>31.6750227192084</v>
      </c>
    </row>
    <row r="8" spans="1:22" ht="18" customHeight="1" x14ac:dyDescent="0.15">
      <c r="A8" s="6" t="s">
        <v>30</v>
      </c>
      <c r="B8" s="5">
        <v>124</v>
      </c>
      <c r="C8" s="5">
        <v>20</v>
      </c>
      <c r="D8" s="5">
        <f t="shared" si="9"/>
        <v>156</v>
      </c>
      <c r="E8" s="5"/>
      <c r="F8" s="5">
        <v>20</v>
      </c>
      <c r="G8" s="5">
        <v>3</v>
      </c>
      <c r="H8" s="4"/>
      <c r="I8" s="4"/>
      <c r="J8" s="11"/>
      <c r="K8" s="12">
        <f t="shared" si="0"/>
        <v>0</v>
      </c>
      <c r="L8" s="12">
        <f t="shared" si="7"/>
        <v>0.99862953475457406</v>
      </c>
      <c r="M8" s="12">
        <f t="shared" si="1"/>
        <v>1</v>
      </c>
      <c r="N8" s="12">
        <f t="shared" si="2"/>
        <v>0</v>
      </c>
      <c r="O8" s="12" t="s">
        <v>25</v>
      </c>
      <c r="P8" s="12">
        <f t="shared" si="3"/>
        <v>1</v>
      </c>
      <c r="Q8" s="12">
        <f t="shared" si="8"/>
        <v>5.23359562429438E-2</v>
      </c>
      <c r="R8" s="12">
        <f t="shared" si="4"/>
        <v>5.23359562429438E-2</v>
      </c>
      <c r="S8" s="12">
        <f t="shared" si="5"/>
        <v>5.23359562429438E-2</v>
      </c>
      <c r="T8" s="12">
        <f t="shared" si="6"/>
        <v>1.0467191248588801</v>
      </c>
      <c r="U8" s="46"/>
      <c r="V8" s="17">
        <f>V7+T8</f>
        <v>32.721741844067303</v>
      </c>
    </row>
    <row r="9" spans="1:22" ht="18" customHeight="1" x14ac:dyDescent="0.15">
      <c r="A9" s="6" t="s">
        <v>31</v>
      </c>
      <c r="B9" s="5">
        <v>158</v>
      </c>
      <c r="C9" s="5">
        <v>45</v>
      </c>
      <c r="D9" s="5">
        <f t="shared" si="9"/>
        <v>201</v>
      </c>
      <c r="E9" s="5"/>
      <c r="F9" s="5">
        <v>45</v>
      </c>
      <c r="G9" s="5">
        <v>-16</v>
      </c>
      <c r="H9" s="4"/>
      <c r="I9" s="4"/>
      <c r="J9" s="13"/>
      <c r="K9" s="12">
        <f t="shared" si="0"/>
        <v>0</v>
      </c>
      <c r="L9" s="12">
        <f t="shared" si="7"/>
        <v>0.96126169593831901</v>
      </c>
      <c r="M9" s="12">
        <f t="shared" si="1"/>
        <v>1</v>
      </c>
      <c r="N9" s="12">
        <f t="shared" si="2"/>
        <v>0</v>
      </c>
      <c r="O9" s="12" t="s">
        <v>25</v>
      </c>
      <c r="P9" s="12">
        <f t="shared" si="3"/>
        <v>1</v>
      </c>
      <c r="Q9" s="12">
        <f t="shared" si="8"/>
        <v>-0.275637355816999</v>
      </c>
      <c r="R9" s="12">
        <f t="shared" si="4"/>
        <v>-0.275637355816999</v>
      </c>
      <c r="S9" s="12">
        <f t="shared" si="5"/>
        <v>-0.275637355816999</v>
      </c>
      <c r="T9" s="12">
        <f t="shared" si="6"/>
        <v>-12.403681011765</v>
      </c>
      <c r="U9" s="46"/>
      <c r="V9" s="17">
        <f>V8-T9</f>
        <v>45.125422855832198</v>
      </c>
    </row>
    <row r="10" spans="1:22" ht="18" customHeight="1" x14ac:dyDescent="0.15">
      <c r="A10" s="6" t="s">
        <v>32</v>
      </c>
      <c r="B10" s="5">
        <v>130</v>
      </c>
      <c r="C10" s="5">
        <v>19</v>
      </c>
      <c r="D10" s="5">
        <f t="shared" si="9"/>
        <v>220</v>
      </c>
      <c r="E10" s="5"/>
      <c r="F10" s="5">
        <v>19</v>
      </c>
      <c r="G10" s="5">
        <v>0</v>
      </c>
      <c r="H10" s="4"/>
      <c r="I10" s="4"/>
      <c r="J10" s="11"/>
      <c r="K10" s="12">
        <f t="shared" si="0"/>
        <v>0</v>
      </c>
      <c r="L10" s="12">
        <f t="shared" si="7"/>
        <v>1</v>
      </c>
      <c r="M10" s="12">
        <f t="shared" si="1"/>
        <v>1</v>
      </c>
      <c r="N10" s="12">
        <f t="shared" si="2"/>
        <v>0</v>
      </c>
      <c r="O10" s="12" t="s">
        <v>25</v>
      </c>
      <c r="P10" s="12">
        <f t="shared" si="3"/>
        <v>1</v>
      </c>
      <c r="Q10" s="12">
        <f t="shared" si="8"/>
        <v>0</v>
      </c>
      <c r="R10" s="12">
        <f t="shared" si="4"/>
        <v>0</v>
      </c>
      <c r="S10" s="12">
        <f t="shared" si="5"/>
        <v>0</v>
      </c>
      <c r="T10" s="12">
        <f t="shared" si="6"/>
        <v>0</v>
      </c>
      <c r="U10" s="46"/>
      <c r="V10" s="17">
        <f>V9+T10</f>
        <v>45.125422855832198</v>
      </c>
    </row>
    <row r="11" spans="1:22" ht="18" customHeight="1" x14ac:dyDescent="0.15">
      <c r="A11" s="6" t="s">
        <v>33</v>
      </c>
      <c r="B11" s="5">
        <v>83</v>
      </c>
      <c r="C11" s="5">
        <v>21</v>
      </c>
      <c r="D11" s="5">
        <f t="shared" si="9"/>
        <v>241</v>
      </c>
      <c r="E11" s="5"/>
      <c r="F11" s="5">
        <v>21</v>
      </c>
      <c r="G11" s="5">
        <v>-5</v>
      </c>
      <c r="H11" s="4"/>
      <c r="I11" s="4"/>
      <c r="J11" s="13"/>
      <c r="K11" s="12">
        <f t="shared" si="0"/>
        <v>0</v>
      </c>
      <c r="L11" s="12">
        <f t="shared" si="7"/>
        <v>0.99619469809174599</v>
      </c>
      <c r="M11" s="12">
        <f t="shared" si="1"/>
        <v>1</v>
      </c>
      <c r="N11" s="12">
        <f t="shared" si="2"/>
        <v>0</v>
      </c>
      <c r="O11" s="12" t="s">
        <v>25</v>
      </c>
      <c r="P11" s="12">
        <f t="shared" si="3"/>
        <v>1</v>
      </c>
      <c r="Q11" s="12">
        <f t="shared" si="8"/>
        <v>-8.7155742747658194E-2</v>
      </c>
      <c r="R11" s="12">
        <f t="shared" si="4"/>
        <v>-8.7155742747658194E-2</v>
      </c>
      <c r="S11" s="12">
        <f t="shared" si="5"/>
        <v>-8.7155742747658194E-2</v>
      </c>
      <c r="T11" s="12">
        <f t="shared" si="6"/>
        <v>-1.83027059770082</v>
      </c>
      <c r="U11" s="47"/>
      <c r="V11" s="17">
        <f>V10-T11</f>
        <v>46.955693453533002</v>
      </c>
    </row>
    <row r="12" spans="1:22" ht="18" customHeight="1" x14ac:dyDescent="0.15">
      <c r="A12" s="6" t="s">
        <v>34</v>
      </c>
      <c r="B12" s="5">
        <v>132</v>
      </c>
      <c r="C12" s="5">
        <v>63</v>
      </c>
      <c r="D12" s="5">
        <f t="shared" si="9"/>
        <v>304</v>
      </c>
      <c r="E12" s="5">
        <v>0</v>
      </c>
      <c r="F12" s="5">
        <v>63</v>
      </c>
      <c r="G12" s="5">
        <v>0</v>
      </c>
      <c r="H12" s="4"/>
      <c r="I12" s="4"/>
      <c r="J12" s="11"/>
      <c r="K12" s="12">
        <f t="shared" si="0"/>
        <v>0</v>
      </c>
      <c r="L12" s="12">
        <f t="shared" si="7"/>
        <v>1</v>
      </c>
      <c r="M12" s="12">
        <f t="shared" si="1"/>
        <v>1</v>
      </c>
      <c r="N12" s="12">
        <f t="shared" si="2"/>
        <v>0</v>
      </c>
      <c r="O12" s="12" t="s">
        <v>25</v>
      </c>
      <c r="P12" s="12">
        <f t="shared" si="3"/>
        <v>1</v>
      </c>
      <c r="Q12" s="12">
        <f t="shared" si="8"/>
        <v>0</v>
      </c>
      <c r="R12" s="12">
        <f t="shared" si="4"/>
        <v>0</v>
      </c>
      <c r="S12" s="12">
        <f t="shared" si="5"/>
        <v>0</v>
      </c>
      <c r="T12" s="12">
        <f t="shared" si="6"/>
        <v>0</v>
      </c>
      <c r="U12" s="46" t="s">
        <v>26</v>
      </c>
      <c r="V12" s="17">
        <v>0</v>
      </c>
    </row>
    <row r="13" spans="1:22" ht="18" customHeight="1" x14ac:dyDescent="0.15">
      <c r="A13" s="29" t="s">
        <v>35</v>
      </c>
      <c r="B13" s="38">
        <v>170</v>
      </c>
      <c r="C13" s="38">
        <v>21</v>
      </c>
      <c r="D13" s="5">
        <f t="shared" si="9"/>
        <v>308.5</v>
      </c>
      <c r="E13" s="5"/>
      <c r="F13" s="5">
        <v>4.5</v>
      </c>
      <c r="G13" s="38">
        <v>14</v>
      </c>
      <c r="H13" s="4"/>
      <c r="I13" s="4"/>
      <c r="J13" s="13"/>
      <c r="K13" s="12">
        <f t="shared" si="0"/>
        <v>0</v>
      </c>
      <c r="L13" s="12">
        <f t="shared" si="7"/>
        <v>0.97029572627599603</v>
      </c>
      <c r="M13" s="12">
        <f t="shared" si="1"/>
        <v>1</v>
      </c>
      <c r="N13" s="12">
        <f t="shared" si="2"/>
        <v>0</v>
      </c>
      <c r="O13" s="12" t="s">
        <v>25</v>
      </c>
      <c r="P13" s="12">
        <f t="shared" si="3"/>
        <v>1</v>
      </c>
      <c r="Q13" s="12">
        <f t="shared" si="8"/>
        <v>0.24192189559966801</v>
      </c>
      <c r="R13" s="12">
        <f t="shared" si="4"/>
        <v>0.24192189559966801</v>
      </c>
      <c r="S13" s="12">
        <f t="shared" si="5"/>
        <v>0.24192189559966801</v>
      </c>
      <c r="T13" s="12">
        <f t="shared" si="6"/>
        <v>1.0886485301985001</v>
      </c>
      <c r="U13" s="47"/>
      <c r="V13" s="17">
        <v>1</v>
      </c>
    </row>
    <row r="14" spans="1:22" ht="18" customHeight="1" x14ac:dyDescent="0.15">
      <c r="A14" s="30"/>
      <c r="B14" s="37"/>
      <c r="C14" s="37"/>
      <c r="D14" s="5">
        <f t="shared" si="9"/>
        <v>325</v>
      </c>
      <c r="E14" s="5">
        <v>4.5</v>
      </c>
      <c r="F14" s="5">
        <f>C13-4.5</f>
        <v>16.5</v>
      </c>
      <c r="G14" s="37"/>
      <c r="H14" s="4">
        <v>126</v>
      </c>
      <c r="I14" s="4">
        <v>83</v>
      </c>
      <c r="J14" s="13">
        <f>B13-H14</f>
        <v>44</v>
      </c>
      <c r="K14" s="12">
        <f t="shared" si="0"/>
        <v>0.99254615164132198</v>
      </c>
      <c r="L14" s="12">
        <f>COS(G13*PI()/180)</f>
        <v>0.97029572627599603</v>
      </c>
      <c r="M14" s="12">
        <f t="shared" si="1"/>
        <v>0.71933980033865097</v>
      </c>
      <c r="N14" s="12">
        <f t="shared" si="2"/>
        <v>0.69276975407256702</v>
      </c>
      <c r="O14" s="12" t="s">
        <v>25</v>
      </c>
      <c r="P14" s="12">
        <f t="shared" si="3"/>
        <v>0.121869343405147</v>
      </c>
      <c r="Q14" s="12">
        <f>SIN(G13*PI()/180)</f>
        <v>0.24192189559966801</v>
      </c>
      <c r="R14" s="12">
        <f t="shared" si="4"/>
        <v>2.94828625720602E-2</v>
      </c>
      <c r="S14" s="12">
        <f t="shared" si="5"/>
        <v>0.72225261664462703</v>
      </c>
      <c r="T14" s="12">
        <f t="shared" si="6"/>
        <v>3.9917112773945198</v>
      </c>
      <c r="U14" s="46" t="s">
        <v>36</v>
      </c>
      <c r="V14" s="17">
        <f>T14</f>
        <v>3.9917112773945198</v>
      </c>
    </row>
    <row r="15" spans="1:22" ht="18" customHeight="1" x14ac:dyDescent="0.15">
      <c r="A15" s="6" t="s">
        <v>37</v>
      </c>
      <c r="B15" s="5">
        <v>150</v>
      </c>
      <c r="C15" s="5">
        <v>52</v>
      </c>
      <c r="D15" s="5">
        <f t="shared" si="9"/>
        <v>377</v>
      </c>
      <c r="E15" s="5"/>
      <c r="F15" s="5">
        <v>52</v>
      </c>
      <c r="G15" s="5">
        <v>4</v>
      </c>
      <c r="H15" s="4">
        <v>126</v>
      </c>
      <c r="I15" s="4">
        <v>83</v>
      </c>
      <c r="J15" s="13">
        <f>B15-H15</f>
        <v>24</v>
      </c>
      <c r="K15" s="12">
        <f t="shared" si="0"/>
        <v>0.99254615164132198</v>
      </c>
      <c r="L15" s="12">
        <f>COS(G15*PI()/180)</f>
        <v>0.99756405025982398</v>
      </c>
      <c r="M15" s="12">
        <f t="shared" si="1"/>
        <v>0.91354545764260098</v>
      </c>
      <c r="N15" s="12">
        <f t="shared" si="2"/>
        <v>0.90452726493994895</v>
      </c>
      <c r="O15" s="12" t="s">
        <v>25</v>
      </c>
      <c r="P15" s="12">
        <f t="shared" si="3"/>
        <v>0.121869343405147</v>
      </c>
      <c r="Q15" s="12">
        <f>SIN(G15*PI()/180)</f>
        <v>6.9756473744125302E-2</v>
      </c>
      <c r="R15" s="12">
        <f t="shared" si="4"/>
        <v>8.50117565345496E-3</v>
      </c>
      <c r="S15" s="12">
        <f t="shared" si="5"/>
        <v>0.91302844059340404</v>
      </c>
      <c r="T15" s="12">
        <f t="shared" si="6"/>
        <v>3.6273366346945202</v>
      </c>
      <c r="U15" s="46"/>
      <c r="V15" s="17">
        <f>V14+T15</f>
        <v>7.6190479120890302</v>
      </c>
    </row>
    <row r="16" spans="1:22" ht="18" customHeight="1" x14ac:dyDescent="0.15">
      <c r="A16" s="29" t="s">
        <v>38</v>
      </c>
      <c r="B16" s="5">
        <v>175</v>
      </c>
      <c r="C16" s="5">
        <v>32</v>
      </c>
      <c r="D16" s="5">
        <f t="shared" si="9"/>
        <v>378.5</v>
      </c>
      <c r="E16" s="5"/>
      <c r="F16" s="5">
        <v>1.5</v>
      </c>
      <c r="G16" s="38">
        <v>-7</v>
      </c>
      <c r="H16" s="4">
        <v>126</v>
      </c>
      <c r="I16" s="4">
        <v>83</v>
      </c>
      <c r="J16" s="5">
        <f>B16-H16</f>
        <v>49</v>
      </c>
      <c r="K16" s="12">
        <f t="shared" si="0"/>
        <v>0.99254615164132198</v>
      </c>
      <c r="L16" s="12">
        <f>COS(G16*PI()/180)</f>
        <v>0.99254615164132198</v>
      </c>
      <c r="M16" s="12">
        <f t="shared" si="1"/>
        <v>0.65605902899050705</v>
      </c>
      <c r="N16" s="12">
        <f t="shared" si="2"/>
        <v>0.64631515050238797</v>
      </c>
      <c r="O16" s="12" t="s">
        <v>25</v>
      </c>
      <c r="P16" s="12">
        <f t="shared" si="3"/>
        <v>0.121869343405147</v>
      </c>
      <c r="Q16" s="12">
        <f>SIN(G16*PI()/180)</f>
        <v>-0.121869343405147</v>
      </c>
      <c r="R16" s="12">
        <f t="shared" si="4"/>
        <v>-1.4852136862001699E-2</v>
      </c>
      <c r="S16" s="12">
        <f t="shared" si="5"/>
        <v>0.63146301364038604</v>
      </c>
      <c r="T16" s="12">
        <f t="shared" si="6"/>
        <v>-0.18280401510772101</v>
      </c>
      <c r="U16" s="47"/>
      <c r="V16" s="17">
        <f>V15-T16</f>
        <v>7.8018519271967604</v>
      </c>
    </row>
    <row r="17" spans="1:22" ht="18" customHeight="1" x14ac:dyDescent="0.15">
      <c r="A17" s="31"/>
      <c r="B17" s="5"/>
      <c r="C17" s="5"/>
      <c r="D17" s="5">
        <f t="shared" si="9"/>
        <v>383</v>
      </c>
      <c r="E17" s="5">
        <v>1.5</v>
      </c>
      <c r="F17" s="5">
        <f>E18-F16</f>
        <v>4.5</v>
      </c>
      <c r="G17" s="36"/>
      <c r="H17" s="4"/>
      <c r="I17" s="4"/>
      <c r="J17" s="5">
        <v>175</v>
      </c>
      <c r="K17" s="12">
        <f t="shared" si="0"/>
        <v>0</v>
      </c>
      <c r="L17" s="12">
        <f>COS(G16*PI()/180)</f>
        <v>0.99254615164132198</v>
      </c>
      <c r="M17" s="12">
        <f t="shared" si="1"/>
        <v>-0.99619469809174599</v>
      </c>
      <c r="N17" s="12">
        <f t="shared" si="2"/>
        <v>0</v>
      </c>
      <c r="O17" s="12" t="s">
        <v>25</v>
      </c>
      <c r="P17" s="12">
        <f t="shared" si="3"/>
        <v>1</v>
      </c>
      <c r="Q17" s="12">
        <f>SIN(G16*PI()/180)</f>
        <v>-0.121869343405147</v>
      </c>
      <c r="R17" s="12">
        <f t="shared" si="4"/>
        <v>-0.121869343405147</v>
      </c>
      <c r="S17" s="12">
        <f t="shared" si="5"/>
        <v>-0.121869343405147</v>
      </c>
      <c r="T17" s="12">
        <f t="shared" si="6"/>
        <v>-0.54841204532316401</v>
      </c>
      <c r="U17" s="18" t="s">
        <v>39</v>
      </c>
      <c r="V17" s="17">
        <f>-T17</f>
        <v>0.54841204532316401</v>
      </c>
    </row>
    <row r="18" spans="1:22" ht="18" customHeight="1" x14ac:dyDescent="0.15">
      <c r="A18" s="30"/>
      <c r="B18" s="5"/>
      <c r="C18" s="5"/>
      <c r="D18" s="5">
        <f t="shared" si="9"/>
        <v>409</v>
      </c>
      <c r="E18" s="5">
        <v>6</v>
      </c>
      <c r="F18" s="5">
        <f>C16-E18</f>
        <v>26</v>
      </c>
      <c r="G18" s="37"/>
      <c r="H18" s="4">
        <v>126</v>
      </c>
      <c r="I18" s="4">
        <v>83</v>
      </c>
      <c r="J18" s="5">
        <f>B16-H18</f>
        <v>49</v>
      </c>
      <c r="K18" s="12">
        <f t="shared" si="0"/>
        <v>0.99254615164132198</v>
      </c>
      <c r="L18" s="12">
        <f>COS(G16*PI()/180)</f>
        <v>0.99254615164132198</v>
      </c>
      <c r="M18" s="12">
        <f t="shared" si="1"/>
        <v>0.65605902899050705</v>
      </c>
      <c r="N18" s="12">
        <f t="shared" si="2"/>
        <v>0.64631515050238797</v>
      </c>
      <c r="O18" s="12" t="s">
        <v>25</v>
      </c>
      <c r="P18" s="12">
        <f t="shared" si="3"/>
        <v>0.121869343405147</v>
      </c>
      <c r="Q18" s="12">
        <f>SIN(G16*PI()/180)</f>
        <v>-0.121869343405147</v>
      </c>
      <c r="R18" s="12">
        <f t="shared" si="4"/>
        <v>-1.4852136862001699E-2</v>
      </c>
      <c r="S18" s="12">
        <f t="shared" si="5"/>
        <v>0.63146301364038604</v>
      </c>
      <c r="T18" s="12">
        <f t="shared" si="6"/>
        <v>-3.1686029285338302</v>
      </c>
      <c r="U18" s="48" t="s">
        <v>36</v>
      </c>
      <c r="V18" s="17">
        <f>-T18</f>
        <v>3.1686029285338302</v>
      </c>
    </row>
    <row r="19" spans="1:22" ht="18" customHeight="1" x14ac:dyDescent="0.15">
      <c r="A19" s="6" t="s">
        <v>40</v>
      </c>
      <c r="B19" s="5">
        <v>174</v>
      </c>
      <c r="C19" s="5">
        <v>58</v>
      </c>
      <c r="D19" s="5">
        <f t="shared" si="9"/>
        <v>467</v>
      </c>
      <c r="E19" s="5"/>
      <c r="F19" s="5">
        <v>58</v>
      </c>
      <c r="G19" s="5">
        <v>-10</v>
      </c>
      <c r="H19" s="5">
        <v>173</v>
      </c>
      <c r="I19" s="5">
        <v>35</v>
      </c>
      <c r="J19" s="5">
        <f>B19-H19</f>
        <v>1</v>
      </c>
      <c r="K19" s="12">
        <f t="shared" si="0"/>
        <v>0.57357643635104605</v>
      </c>
      <c r="L19" s="12">
        <f>COS(G19*PI()/180)</f>
        <v>0.98480775301220802</v>
      </c>
      <c r="M19" s="12">
        <f t="shared" si="1"/>
        <v>0.99984769515639105</v>
      </c>
      <c r="N19" s="12">
        <f t="shared" si="2"/>
        <v>0.56477649016563103</v>
      </c>
      <c r="O19" s="12" t="s">
        <v>25</v>
      </c>
      <c r="P19" s="12">
        <f t="shared" si="3"/>
        <v>0.81915204428899202</v>
      </c>
      <c r="Q19" s="12">
        <f>SIN(G19*PI()/180)</f>
        <v>-0.17364817766693</v>
      </c>
      <c r="R19" s="12">
        <f t="shared" si="4"/>
        <v>-0.14224425972292401</v>
      </c>
      <c r="S19" s="12">
        <f t="shared" si="5"/>
        <v>0.42253223044270799</v>
      </c>
      <c r="T19" s="12">
        <f t="shared" si="6"/>
        <v>-10.071594304682</v>
      </c>
      <c r="U19" s="46"/>
      <c r="V19" s="17">
        <f>V18-T19</f>
        <v>13.240197233215801</v>
      </c>
    </row>
    <row r="20" spans="1:22" ht="18" customHeight="1" x14ac:dyDescent="0.15">
      <c r="A20" s="32" t="s">
        <v>41</v>
      </c>
      <c r="B20" s="7">
        <v>162</v>
      </c>
      <c r="C20" s="5">
        <v>65</v>
      </c>
      <c r="D20" s="5">
        <f t="shared" si="9"/>
        <v>483</v>
      </c>
      <c r="E20" s="5"/>
      <c r="F20" s="5">
        <v>16</v>
      </c>
      <c r="G20" s="38">
        <v>-12</v>
      </c>
      <c r="H20" s="5">
        <v>173</v>
      </c>
      <c r="I20" s="5">
        <v>35</v>
      </c>
      <c r="J20" s="5">
        <f>B20-H20</f>
        <v>-11</v>
      </c>
      <c r="K20" s="12">
        <f t="shared" si="0"/>
        <v>0.57357643635104605</v>
      </c>
      <c r="L20" s="12">
        <f>COS(G20*PI()/180)</f>
        <v>0.97814760073380602</v>
      </c>
      <c r="M20" s="12">
        <f t="shared" si="1"/>
        <v>0.98162718344766398</v>
      </c>
      <c r="N20" s="12">
        <f t="shared" si="2"/>
        <v>0.55073448568435102</v>
      </c>
      <c r="O20" s="12" t="s">
        <v>25</v>
      </c>
      <c r="P20" s="12">
        <f t="shared" si="3"/>
        <v>0.81915204428899202</v>
      </c>
      <c r="Q20" s="12">
        <f>SIN(G20*PI()/180)</f>
        <v>-0.20791169081775901</v>
      </c>
      <c r="R20" s="12">
        <f t="shared" si="4"/>
        <v>-0.17031128656494801</v>
      </c>
      <c r="S20" s="12">
        <f t="shared" si="5"/>
        <v>0.38042319911940298</v>
      </c>
      <c r="T20" s="12">
        <f t="shared" si="6"/>
        <v>-3.3265870530841499</v>
      </c>
      <c r="U20" s="47"/>
      <c r="V20" s="17">
        <f>V19-T20</f>
        <v>16.5667842862999</v>
      </c>
    </row>
    <row r="21" spans="1:22" ht="18" customHeight="1" x14ac:dyDescent="0.15">
      <c r="A21" s="32"/>
      <c r="B21" s="7"/>
      <c r="C21" s="5"/>
      <c r="D21" s="5">
        <f t="shared" si="9"/>
        <v>532</v>
      </c>
      <c r="E21" s="5">
        <v>16</v>
      </c>
      <c r="F21" s="5">
        <f>C20-16</f>
        <v>49</v>
      </c>
      <c r="G21" s="37"/>
      <c r="H21" s="5"/>
      <c r="I21" s="5"/>
      <c r="J21" s="5"/>
      <c r="K21" s="12">
        <f t="shared" si="0"/>
        <v>0</v>
      </c>
      <c r="L21" s="12">
        <f>COS(G20*PI()/180)</f>
        <v>0.97814760073380602</v>
      </c>
      <c r="M21" s="12">
        <f t="shared" si="1"/>
        <v>1</v>
      </c>
      <c r="N21" s="12">
        <f t="shared" si="2"/>
        <v>0</v>
      </c>
      <c r="O21" s="12" t="s">
        <v>25</v>
      </c>
      <c r="P21" s="12">
        <f t="shared" si="3"/>
        <v>1</v>
      </c>
      <c r="Q21" s="12">
        <f>SIN(G20*PI()/180)</f>
        <v>-0.20791169081775901</v>
      </c>
      <c r="R21" s="12">
        <f t="shared" si="4"/>
        <v>-0.20791169081775901</v>
      </c>
      <c r="S21" s="12">
        <f t="shared" si="5"/>
        <v>-0.20791169081775901</v>
      </c>
      <c r="T21" s="12">
        <f t="shared" si="6"/>
        <v>-10.1876728500702</v>
      </c>
      <c r="U21" s="48" t="s">
        <v>26</v>
      </c>
      <c r="V21" s="17">
        <f>-T21</f>
        <v>10.1876728500702</v>
      </c>
    </row>
    <row r="22" spans="1:22" ht="18" customHeight="1" x14ac:dyDescent="0.15">
      <c r="A22" s="8" t="s">
        <v>42</v>
      </c>
      <c r="B22" s="5">
        <v>163</v>
      </c>
      <c r="C22" s="5">
        <v>54</v>
      </c>
      <c r="D22" s="5">
        <f t="shared" si="9"/>
        <v>586</v>
      </c>
      <c r="E22" s="5"/>
      <c r="F22" s="5">
        <v>54</v>
      </c>
      <c r="G22" s="5">
        <v>-2</v>
      </c>
      <c r="H22" s="5"/>
      <c r="I22" s="5"/>
      <c r="J22" s="5"/>
      <c r="K22" s="12">
        <f t="shared" si="0"/>
        <v>0</v>
      </c>
      <c r="L22" s="12">
        <f t="shared" ref="L22:L35" si="10">COS(G22*PI()/180)</f>
        <v>0.99939082701909598</v>
      </c>
      <c r="M22" s="12">
        <f t="shared" si="1"/>
        <v>1</v>
      </c>
      <c r="N22" s="12">
        <f t="shared" si="2"/>
        <v>0</v>
      </c>
      <c r="O22" s="12" t="s">
        <v>25</v>
      </c>
      <c r="P22" s="12">
        <f t="shared" si="3"/>
        <v>1</v>
      </c>
      <c r="Q22" s="12">
        <f t="shared" ref="Q22:Q35" si="11">SIN(G22*PI()/180)</f>
        <v>-3.4899496702500997E-2</v>
      </c>
      <c r="R22" s="12">
        <f t="shared" si="4"/>
        <v>-3.4899496702500997E-2</v>
      </c>
      <c r="S22" s="12">
        <f t="shared" si="5"/>
        <v>-3.4899496702500997E-2</v>
      </c>
      <c r="T22" s="12">
        <f t="shared" si="6"/>
        <v>-1.8845728219350499</v>
      </c>
      <c r="U22" s="46"/>
      <c r="V22" s="17">
        <f>V21-T22</f>
        <v>12.0722456720053</v>
      </c>
    </row>
    <row r="23" spans="1:22" ht="18" customHeight="1" x14ac:dyDescent="0.15">
      <c r="A23" s="8" t="s">
        <v>43</v>
      </c>
      <c r="B23" s="5">
        <v>156</v>
      </c>
      <c r="C23" s="5">
        <v>54</v>
      </c>
      <c r="D23" s="5">
        <f t="shared" si="9"/>
        <v>640</v>
      </c>
      <c r="E23" s="5"/>
      <c r="F23" s="5">
        <v>54</v>
      </c>
      <c r="G23" s="5">
        <v>-2</v>
      </c>
      <c r="H23" s="5"/>
      <c r="I23" s="5"/>
      <c r="J23" s="5"/>
      <c r="K23" s="12">
        <f t="shared" si="0"/>
        <v>0</v>
      </c>
      <c r="L23" s="12">
        <f t="shared" si="10"/>
        <v>0.99939082701909598</v>
      </c>
      <c r="M23" s="12">
        <f t="shared" si="1"/>
        <v>1</v>
      </c>
      <c r="N23" s="12">
        <f t="shared" si="2"/>
        <v>0</v>
      </c>
      <c r="O23" s="12" t="s">
        <v>25</v>
      </c>
      <c r="P23" s="12">
        <f t="shared" si="3"/>
        <v>1</v>
      </c>
      <c r="Q23" s="12">
        <f t="shared" si="11"/>
        <v>-3.4899496702500997E-2</v>
      </c>
      <c r="R23" s="12">
        <f t="shared" si="4"/>
        <v>-3.4899496702500997E-2</v>
      </c>
      <c r="S23" s="12">
        <f t="shared" si="5"/>
        <v>-3.4899496702500997E-2</v>
      </c>
      <c r="T23" s="12">
        <f t="shared" si="6"/>
        <v>-1.8845728219350499</v>
      </c>
      <c r="U23" s="46"/>
      <c r="V23" s="17">
        <f>V22-T23</f>
        <v>13.9568184939403</v>
      </c>
    </row>
    <row r="24" spans="1:22" ht="18" customHeight="1" x14ac:dyDescent="0.15">
      <c r="A24" s="8" t="s">
        <v>44</v>
      </c>
      <c r="B24" s="5">
        <v>160</v>
      </c>
      <c r="C24" s="5">
        <v>68</v>
      </c>
      <c r="D24" s="5">
        <f t="shared" si="9"/>
        <v>708</v>
      </c>
      <c r="E24" s="5"/>
      <c r="F24" s="5">
        <v>68</v>
      </c>
      <c r="G24" s="5">
        <v>-2</v>
      </c>
      <c r="H24" s="5"/>
      <c r="I24" s="5"/>
      <c r="J24" s="5"/>
      <c r="K24" s="12">
        <f t="shared" si="0"/>
        <v>0</v>
      </c>
      <c r="L24" s="12">
        <f t="shared" si="10"/>
        <v>0.99939082701909598</v>
      </c>
      <c r="M24" s="12">
        <f t="shared" si="1"/>
        <v>1</v>
      </c>
      <c r="N24" s="12">
        <f t="shared" si="2"/>
        <v>0</v>
      </c>
      <c r="O24" s="12" t="s">
        <v>25</v>
      </c>
      <c r="P24" s="12">
        <f t="shared" si="3"/>
        <v>1</v>
      </c>
      <c r="Q24" s="12">
        <f t="shared" si="11"/>
        <v>-3.4899496702500997E-2</v>
      </c>
      <c r="R24" s="12">
        <f t="shared" si="4"/>
        <v>-3.4899496702500997E-2</v>
      </c>
      <c r="S24" s="12">
        <f t="shared" si="5"/>
        <v>-3.4899496702500997E-2</v>
      </c>
      <c r="T24" s="12">
        <f t="shared" si="6"/>
        <v>-2.3731657757700702</v>
      </c>
      <c r="U24" s="46"/>
      <c r="V24" s="17">
        <f>V23-T24</f>
        <v>16.329984269710401</v>
      </c>
    </row>
    <row r="25" spans="1:22" ht="18" customHeight="1" x14ac:dyDescent="0.15">
      <c r="A25" s="8" t="s">
        <v>45</v>
      </c>
      <c r="B25" s="5">
        <v>156</v>
      </c>
      <c r="C25" s="5">
        <v>37</v>
      </c>
      <c r="D25" s="5">
        <f t="shared" si="9"/>
        <v>745</v>
      </c>
      <c r="E25" s="5"/>
      <c r="F25" s="5">
        <v>37</v>
      </c>
      <c r="G25" s="5">
        <v>0</v>
      </c>
      <c r="H25" s="5"/>
      <c r="I25" s="5"/>
      <c r="J25" s="5"/>
      <c r="K25" s="12">
        <f t="shared" si="0"/>
        <v>0</v>
      </c>
      <c r="L25" s="12">
        <f t="shared" si="10"/>
        <v>1</v>
      </c>
      <c r="M25" s="12">
        <f t="shared" si="1"/>
        <v>1</v>
      </c>
      <c r="N25" s="12">
        <f t="shared" si="2"/>
        <v>0</v>
      </c>
      <c r="O25" s="12" t="s">
        <v>25</v>
      </c>
      <c r="P25" s="12">
        <f t="shared" si="3"/>
        <v>1</v>
      </c>
      <c r="Q25" s="12">
        <f t="shared" si="11"/>
        <v>0</v>
      </c>
      <c r="R25" s="12">
        <f t="shared" si="4"/>
        <v>0</v>
      </c>
      <c r="S25" s="12">
        <f t="shared" si="5"/>
        <v>0</v>
      </c>
      <c r="T25" s="12">
        <f t="shared" si="6"/>
        <v>0</v>
      </c>
      <c r="U25" s="46"/>
      <c r="V25" s="17">
        <f>V24-T25</f>
        <v>16.329984269710401</v>
      </c>
    </row>
    <row r="26" spans="1:22" ht="18" customHeight="1" x14ac:dyDescent="0.15">
      <c r="A26" s="8" t="s">
        <v>46</v>
      </c>
      <c r="B26" s="5">
        <v>163</v>
      </c>
      <c r="C26" s="5">
        <v>57</v>
      </c>
      <c r="D26" s="5">
        <f t="shared" si="9"/>
        <v>802</v>
      </c>
      <c r="E26" s="5"/>
      <c r="F26" s="5">
        <v>57</v>
      </c>
      <c r="G26" s="5">
        <v>0</v>
      </c>
      <c r="H26" s="5"/>
      <c r="I26" s="5"/>
      <c r="J26" s="5"/>
      <c r="K26" s="12">
        <f t="shared" si="0"/>
        <v>0</v>
      </c>
      <c r="L26" s="12">
        <f t="shared" si="10"/>
        <v>1</v>
      </c>
      <c r="M26" s="12">
        <f t="shared" si="1"/>
        <v>1</v>
      </c>
      <c r="N26" s="12">
        <f t="shared" si="2"/>
        <v>0</v>
      </c>
      <c r="O26" s="12" t="s">
        <v>25</v>
      </c>
      <c r="P26" s="12">
        <f t="shared" si="3"/>
        <v>1</v>
      </c>
      <c r="Q26" s="12">
        <f t="shared" si="11"/>
        <v>0</v>
      </c>
      <c r="R26" s="12">
        <f t="shared" si="4"/>
        <v>0</v>
      </c>
      <c r="S26" s="12">
        <f t="shared" si="5"/>
        <v>0</v>
      </c>
      <c r="T26" s="12">
        <f t="shared" si="6"/>
        <v>0</v>
      </c>
      <c r="U26" s="46"/>
      <c r="V26" s="17">
        <f>V25-T26</f>
        <v>16.329984269710401</v>
      </c>
    </row>
    <row r="27" spans="1:22" ht="18" customHeight="1" x14ac:dyDescent="0.15">
      <c r="A27" s="8" t="s">
        <v>47</v>
      </c>
      <c r="B27" s="5">
        <v>163</v>
      </c>
      <c r="C27" s="5">
        <v>50</v>
      </c>
      <c r="D27" s="5">
        <f t="shared" si="9"/>
        <v>852</v>
      </c>
      <c r="E27" s="5"/>
      <c r="F27" s="5">
        <v>50</v>
      </c>
      <c r="G27" s="5">
        <v>6</v>
      </c>
      <c r="H27" s="5"/>
      <c r="I27" s="5"/>
      <c r="J27" s="5"/>
      <c r="K27" s="12">
        <f t="shared" si="0"/>
        <v>0</v>
      </c>
      <c r="L27" s="12">
        <f t="shared" si="10"/>
        <v>0.99452189536827296</v>
      </c>
      <c r="M27" s="12">
        <f t="shared" si="1"/>
        <v>1</v>
      </c>
      <c r="N27" s="12">
        <f t="shared" si="2"/>
        <v>0</v>
      </c>
      <c r="O27" s="12" t="s">
        <v>25</v>
      </c>
      <c r="P27" s="12">
        <f t="shared" si="3"/>
        <v>1</v>
      </c>
      <c r="Q27" s="12">
        <f t="shared" si="11"/>
        <v>0.104528463267653</v>
      </c>
      <c r="R27" s="12">
        <f t="shared" si="4"/>
        <v>0.104528463267653</v>
      </c>
      <c r="S27" s="12">
        <f t="shared" si="5"/>
        <v>0.104528463267653</v>
      </c>
      <c r="T27" s="12">
        <f t="shared" si="6"/>
        <v>5.2264231633826697</v>
      </c>
      <c r="U27" s="46"/>
      <c r="V27" s="17">
        <f>V26+T27</f>
        <v>21.556407433093</v>
      </c>
    </row>
    <row r="28" spans="1:22" ht="18" customHeight="1" x14ac:dyDescent="0.15">
      <c r="A28" s="33" t="s">
        <v>48</v>
      </c>
      <c r="B28" s="39">
        <v>151</v>
      </c>
      <c r="C28" s="38">
        <v>62</v>
      </c>
      <c r="D28" s="5">
        <f t="shared" si="9"/>
        <v>873</v>
      </c>
      <c r="E28" s="5"/>
      <c r="F28" s="5">
        <v>21</v>
      </c>
      <c r="G28" s="5">
        <v>10</v>
      </c>
      <c r="H28" s="5"/>
      <c r="I28" s="5"/>
      <c r="J28" s="5"/>
      <c r="K28" s="12">
        <f t="shared" si="0"/>
        <v>0</v>
      </c>
      <c r="L28" s="12">
        <f t="shared" si="10"/>
        <v>0.98480775301220802</v>
      </c>
      <c r="M28" s="12">
        <f t="shared" si="1"/>
        <v>1</v>
      </c>
      <c r="N28" s="12">
        <f t="shared" si="2"/>
        <v>0</v>
      </c>
      <c r="O28" s="12" t="s">
        <v>25</v>
      </c>
      <c r="P28" s="12">
        <f t="shared" si="3"/>
        <v>1</v>
      </c>
      <c r="Q28" s="12">
        <f t="shared" si="11"/>
        <v>0.17364817766693</v>
      </c>
      <c r="R28" s="12">
        <f t="shared" si="4"/>
        <v>0.17364817766693</v>
      </c>
      <c r="S28" s="12">
        <f t="shared" si="5"/>
        <v>0.17364817766693</v>
      </c>
      <c r="T28" s="12">
        <f t="shared" si="6"/>
        <v>3.6466117310055401</v>
      </c>
      <c r="U28" s="47"/>
      <c r="V28" s="17">
        <f>V27+T28</f>
        <v>25.203019164098599</v>
      </c>
    </row>
    <row r="29" spans="1:22" ht="18" customHeight="1" x14ac:dyDescent="0.15">
      <c r="A29" s="33"/>
      <c r="B29" s="40"/>
      <c r="C29" s="37"/>
      <c r="D29" s="5">
        <f t="shared" si="9"/>
        <v>914</v>
      </c>
      <c r="E29" s="5">
        <v>21</v>
      </c>
      <c r="F29" s="5">
        <f>C28-E29</f>
        <v>41</v>
      </c>
      <c r="G29" s="5">
        <v>10</v>
      </c>
      <c r="H29" s="5"/>
      <c r="I29" s="5"/>
      <c r="J29" s="5"/>
      <c r="K29" s="12">
        <f t="shared" si="0"/>
        <v>0</v>
      </c>
      <c r="L29" s="12">
        <f t="shared" si="10"/>
        <v>0.98480775301220802</v>
      </c>
      <c r="M29" s="12">
        <f t="shared" si="1"/>
        <v>1</v>
      </c>
      <c r="N29" s="12">
        <f t="shared" si="2"/>
        <v>0</v>
      </c>
      <c r="O29" s="12" t="s">
        <v>25</v>
      </c>
      <c r="P29" s="12">
        <f t="shared" si="3"/>
        <v>1</v>
      </c>
      <c r="Q29" s="12">
        <f t="shared" si="11"/>
        <v>0.17364817766693</v>
      </c>
      <c r="R29" s="12">
        <f t="shared" si="4"/>
        <v>0.17364817766693</v>
      </c>
      <c r="S29" s="12">
        <f t="shared" si="5"/>
        <v>0.17364817766693</v>
      </c>
      <c r="T29" s="12">
        <f t="shared" si="6"/>
        <v>7.1195752843441404</v>
      </c>
      <c r="U29" s="48" t="s">
        <v>27</v>
      </c>
      <c r="V29" s="17">
        <f>T29</f>
        <v>7.1195752843441404</v>
      </c>
    </row>
    <row r="30" spans="1:22" ht="18" customHeight="1" x14ac:dyDescent="0.15">
      <c r="A30" s="8" t="s">
        <v>49</v>
      </c>
      <c r="B30" s="5">
        <v>143</v>
      </c>
      <c r="C30" s="5">
        <v>74</v>
      </c>
      <c r="D30" s="5">
        <f t="shared" si="9"/>
        <v>988</v>
      </c>
      <c r="E30" s="5"/>
      <c r="F30" s="5">
        <v>74</v>
      </c>
      <c r="G30" s="5">
        <v>9</v>
      </c>
      <c r="H30" s="5"/>
      <c r="I30" s="5"/>
      <c r="J30" s="5"/>
      <c r="K30" s="12">
        <f t="shared" si="0"/>
        <v>0</v>
      </c>
      <c r="L30" s="12">
        <f t="shared" si="10"/>
        <v>0.98768834059513799</v>
      </c>
      <c r="M30" s="12">
        <f t="shared" si="1"/>
        <v>1</v>
      </c>
      <c r="N30" s="12">
        <f t="shared" si="2"/>
        <v>0</v>
      </c>
      <c r="O30" s="12" t="s">
        <v>25</v>
      </c>
      <c r="P30" s="12">
        <f t="shared" si="3"/>
        <v>1</v>
      </c>
      <c r="Q30" s="12">
        <f t="shared" si="11"/>
        <v>0.15643446504023101</v>
      </c>
      <c r="R30" s="12">
        <f t="shared" si="4"/>
        <v>0.15643446504023101</v>
      </c>
      <c r="S30" s="12">
        <f t="shared" si="5"/>
        <v>0.15643446504023101</v>
      </c>
      <c r="T30" s="12">
        <f t="shared" si="6"/>
        <v>11.5761504129771</v>
      </c>
      <c r="U30" s="46"/>
      <c r="V30" s="17">
        <f t="shared" ref="V30:V35" si="12">V29+T30</f>
        <v>18.695725697321201</v>
      </c>
    </row>
    <row r="31" spans="1:22" ht="18" customHeight="1" x14ac:dyDescent="0.15">
      <c r="A31" s="8" t="s">
        <v>50</v>
      </c>
      <c r="B31" s="5">
        <v>139</v>
      </c>
      <c r="C31" s="5">
        <v>31</v>
      </c>
      <c r="D31" s="5">
        <f t="shared" si="9"/>
        <v>1019</v>
      </c>
      <c r="E31" s="5"/>
      <c r="F31" s="5">
        <v>31</v>
      </c>
      <c r="G31" s="5">
        <v>4</v>
      </c>
      <c r="H31" s="5"/>
      <c r="I31" s="5"/>
      <c r="J31" s="5"/>
      <c r="K31" s="12">
        <f t="shared" si="0"/>
        <v>0</v>
      </c>
      <c r="L31" s="12">
        <f t="shared" si="10"/>
        <v>0.99756405025982398</v>
      </c>
      <c r="M31" s="12">
        <f t="shared" si="1"/>
        <v>1</v>
      </c>
      <c r="N31" s="12">
        <f t="shared" si="2"/>
        <v>0</v>
      </c>
      <c r="O31" s="12" t="s">
        <v>25</v>
      </c>
      <c r="P31" s="12">
        <f t="shared" si="3"/>
        <v>1</v>
      </c>
      <c r="Q31" s="12">
        <f t="shared" si="11"/>
        <v>6.9756473744125302E-2</v>
      </c>
      <c r="R31" s="12">
        <f t="shared" si="4"/>
        <v>6.9756473744125302E-2</v>
      </c>
      <c r="S31" s="12">
        <f t="shared" si="5"/>
        <v>6.9756473744125302E-2</v>
      </c>
      <c r="T31" s="12">
        <f t="shared" si="6"/>
        <v>2.16245068606788</v>
      </c>
      <c r="U31" s="46"/>
      <c r="V31" s="17">
        <f t="shared" si="12"/>
        <v>20.8581763833891</v>
      </c>
    </row>
    <row r="32" spans="1:22" ht="18" customHeight="1" x14ac:dyDescent="0.15">
      <c r="A32" s="8" t="s">
        <v>51</v>
      </c>
      <c r="B32" s="5">
        <v>130</v>
      </c>
      <c r="C32" s="5">
        <v>34</v>
      </c>
      <c r="D32" s="5">
        <f t="shared" si="9"/>
        <v>1053</v>
      </c>
      <c r="E32" s="5"/>
      <c r="F32" s="5">
        <v>34</v>
      </c>
      <c r="G32" s="5">
        <v>14</v>
      </c>
      <c r="H32" s="5"/>
      <c r="I32" s="5"/>
      <c r="J32" s="5"/>
      <c r="K32" s="12">
        <f t="shared" si="0"/>
        <v>0</v>
      </c>
      <c r="L32" s="12">
        <f t="shared" si="10"/>
        <v>0.97029572627599603</v>
      </c>
      <c r="M32" s="12">
        <f t="shared" si="1"/>
        <v>1</v>
      </c>
      <c r="N32" s="12">
        <f t="shared" si="2"/>
        <v>0</v>
      </c>
      <c r="O32" s="12" t="s">
        <v>25</v>
      </c>
      <c r="P32" s="12">
        <f t="shared" si="3"/>
        <v>1</v>
      </c>
      <c r="Q32" s="12">
        <f t="shared" si="11"/>
        <v>0.24192189559966801</v>
      </c>
      <c r="R32" s="12">
        <f t="shared" si="4"/>
        <v>0.24192189559966801</v>
      </c>
      <c r="S32" s="12">
        <f t="shared" si="5"/>
        <v>0.24192189559966801</v>
      </c>
      <c r="T32" s="12">
        <f t="shared" si="6"/>
        <v>8.2253444503887003</v>
      </c>
      <c r="U32" s="46"/>
      <c r="V32" s="17">
        <f t="shared" si="12"/>
        <v>29.083520833777801</v>
      </c>
    </row>
    <row r="33" spans="1:22" ht="18" customHeight="1" x14ac:dyDescent="0.15">
      <c r="A33" s="8" t="s">
        <v>52</v>
      </c>
      <c r="B33" s="5">
        <v>122</v>
      </c>
      <c r="C33" s="5">
        <v>40</v>
      </c>
      <c r="D33" s="5">
        <f t="shared" si="9"/>
        <v>1093</v>
      </c>
      <c r="E33" s="5"/>
      <c r="F33" s="5">
        <v>40</v>
      </c>
      <c r="G33" s="5">
        <v>30</v>
      </c>
      <c r="H33" s="5"/>
      <c r="I33" s="5"/>
      <c r="J33" s="5"/>
      <c r="K33" s="12">
        <f t="shared" si="0"/>
        <v>0</v>
      </c>
      <c r="L33" s="12">
        <f t="shared" si="10"/>
        <v>0.86602540378443904</v>
      </c>
      <c r="M33" s="12">
        <f t="shared" si="1"/>
        <v>1</v>
      </c>
      <c r="N33" s="12">
        <f t="shared" si="2"/>
        <v>0</v>
      </c>
      <c r="O33" s="12" t="s">
        <v>25</v>
      </c>
      <c r="P33" s="12">
        <f t="shared" si="3"/>
        <v>1</v>
      </c>
      <c r="Q33" s="12">
        <f t="shared" si="11"/>
        <v>0.5</v>
      </c>
      <c r="R33" s="12">
        <f t="shared" si="4"/>
        <v>0.5</v>
      </c>
      <c r="S33" s="12">
        <f t="shared" si="5"/>
        <v>0.5</v>
      </c>
      <c r="T33" s="12">
        <f t="shared" si="6"/>
        <v>20</v>
      </c>
      <c r="U33" s="46"/>
      <c r="V33" s="17">
        <f t="shared" si="12"/>
        <v>49.083520833777797</v>
      </c>
    </row>
    <row r="34" spans="1:22" ht="18" customHeight="1" x14ac:dyDescent="0.15">
      <c r="A34" s="8" t="s">
        <v>53</v>
      </c>
      <c r="B34" s="5">
        <v>117</v>
      </c>
      <c r="C34" s="5">
        <v>19</v>
      </c>
      <c r="D34" s="5">
        <f t="shared" si="9"/>
        <v>1112</v>
      </c>
      <c r="E34" s="5"/>
      <c r="F34" s="5">
        <v>19</v>
      </c>
      <c r="G34" s="5">
        <v>22</v>
      </c>
      <c r="H34" s="5"/>
      <c r="I34" s="5"/>
      <c r="J34" s="5"/>
      <c r="K34" s="12">
        <f t="shared" si="0"/>
        <v>0</v>
      </c>
      <c r="L34" s="12">
        <f t="shared" si="10"/>
        <v>0.92718385456678698</v>
      </c>
      <c r="M34" s="12">
        <f t="shared" si="1"/>
        <v>1</v>
      </c>
      <c r="N34" s="12">
        <f t="shared" si="2"/>
        <v>0</v>
      </c>
      <c r="O34" s="12" t="s">
        <v>25</v>
      </c>
      <c r="P34" s="12">
        <f t="shared" si="3"/>
        <v>1</v>
      </c>
      <c r="Q34" s="12">
        <f t="shared" si="11"/>
        <v>0.37460659341591201</v>
      </c>
      <c r="R34" s="12">
        <f t="shared" si="4"/>
        <v>0.37460659341591201</v>
      </c>
      <c r="S34" s="12">
        <f t="shared" si="5"/>
        <v>0.37460659341591201</v>
      </c>
      <c r="T34" s="12">
        <f t="shared" si="6"/>
        <v>7.1175252749023299</v>
      </c>
      <c r="U34" s="46"/>
      <c r="V34" s="17">
        <f t="shared" si="12"/>
        <v>56.201046108680103</v>
      </c>
    </row>
    <row r="35" spans="1:22" ht="18" customHeight="1" x14ac:dyDescent="0.15">
      <c r="A35" s="9" t="s">
        <v>54</v>
      </c>
      <c r="B35" s="3">
        <v>140</v>
      </c>
      <c r="C35" s="3">
        <v>31</v>
      </c>
      <c r="D35" s="3">
        <f t="shared" si="9"/>
        <v>1143</v>
      </c>
      <c r="E35" s="3"/>
      <c r="F35" s="3">
        <v>31</v>
      </c>
      <c r="G35" s="3">
        <v>11</v>
      </c>
      <c r="H35" s="3"/>
      <c r="I35" s="3"/>
      <c r="J35" s="3"/>
      <c r="K35" s="14">
        <f t="shared" si="0"/>
        <v>0</v>
      </c>
      <c r="L35" s="14">
        <f t="shared" si="10"/>
        <v>0.98162718344766398</v>
      </c>
      <c r="M35" s="14">
        <f t="shared" si="1"/>
        <v>1</v>
      </c>
      <c r="N35" s="14">
        <f t="shared" si="2"/>
        <v>0</v>
      </c>
      <c r="O35" s="14" t="s">
        <v>25</v>
      </c>
      <c r="P35" s="14">
        <f t="shared" si="3"/>
        <v>1</v>
      </c>
      <c r="Q35" s="14">
        <f t="shared" si="11"/>
        <v>0.190808995376545</v>
      </c>
      <c r="R35" s="14">
        <f t="shared" si="4"/>
        <v>0.190808995376545</v>
      </c>
      <c r="S35" s="14">
        <f t="shared" si="5"/>
        <v>0.190808995376545</v>
      </c>
      <c r="T35" s="14">
        <f t="shared" si="6"/>
        <v>5.9150788566728902</v>
      </c>
      <c r="U35" s="49"/>
      <c r="V35" s="19">
        <f t="shared" si="12"/>
        <v>62.116124965353002</v>
      </c>
    </row>
  </sheetData>
  <mergeCells count="35">
    <mergeCell ref="U12:U13"/>
    <mergeCell ref="U14:U16"/>
    <mergeCell ref="U18:U20"/>
    <mergeCell ref="U21:U28"/>
    <mergeCell ref="U29:U35"/>
    <mergeCell ref="G13:G14"/>
    <mergeCell ref="G16:G18"/>
    <mergeCell ref="G20:G21"/>
    <mergeCell ref="J2:J3"/>
    <mergeCell ref="T2:T3"/>
    <mergeCell ref="C13:C14"/>
    <mergeCell ref="C28:C29"/>
    <mergeCell ref="D2:D3"/>
    <mergeCell ref="E2:E3"/>
    <mergeCell ref="F2:F3"/>
    <mergeCell ref="A13:A14"/>
    <mergeCell ref="A16:A18"/>
    <mergeCell ref="A20:A21"/>
    <mergeCell ref="A28:A29"/>
    <mergeCell ref="B2:B3"/>
    <mergeCell ref="B4:B5"/>
    <mergeCell ref="B13:B14"/>
    <mergeCell ref="B28:B29"/>
    <mergeCell ref="A1:V1"/>
    <mergeCell ref="H2:I2"/>
    <mergeCell ref="K2:S2"/>
    <mergeCell ref="A2:A3"/>
    <mergeCell ref="A4:A5"/>
    <mergeCell ref="C2:C3"/>
    <mergeCell ref="C4:C5"/>
    <mergeCell ref="G2:G3"/>
    <mergeCell ref="G4:G5"/>
    <mergeCell ref="U2:U3"/>
    <mergeCell ref="U5:U11"/>
    <mergeCell ref="V2:V3"/>
  </mergeCells>
  <phoneticPr fontId="9" type="noConversion"/>
  <pageMargins left="0.7" right="0.7" top="0.75" bottom="0.75" header="0.3" footer="0.3"/>
  <pageSetup paperSize="9" scale="6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9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9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gudong</dc:creator>
  <cp:lastModifiedBy>玉 王</cp:lastModifiedBy>
  <cp:lastPrinted>2025-01-07T02:14:41Z</cp:lastPrinted>
  <dcterms:created xsi:type="dcterms:W3CDTF">2023-05-12T11:15:00Z</dcterms:created>
  <dcterms:modified xsi:type="dcterms:W3CDTF">2025-01-07T02:15:08Z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3ECFE8683B5A4694AEA7EDF2C1A9CFA2_12</vt:lpwstr>
  </property>
</Properties>
</file>