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15" windowHeight="12480" firstSheet="2" activeTab="2"/>
  </bookViews>
  <sheets>
    <sheet name="PMC原始数据" sheetId="13" r:id="rId1"/>
    <sheet name="PMC原始数据校正" sheetId="5" r:id="rId2"/>
    <sheet name="PMC计算" sheetId="8" r:id="rId3"/>
    <sheet name="剖面校正表打印" sheetId="12" r:id="rId4"/>
    <sheet name="实测剖面计算表" sheetId="14" r:id="rId5"/>
    <sheet name="PMC坐标换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<sst xmlns="http://schemas.openxmlformats.org/spreadsheetml/2006/main" count="200" uniqueCount="157">
  <si>
    <t>点名称</t>
  </si>
  <si>
    <t>X坐标</t>
  </si>
  <si>
    <t>Y坐标</t>
  </si>
  <si>
    <t>高程</t>
  </si>
  <si>
    <t>描述</t>
  </si>
  <si>
    <t>剖面点0</t>
  </si>
  <si>
    <t>90.1</t>
  </si>
  <si>
    <t/>
  </si>
  <si>
    <t>剖面点1</t>
  </si>
  <si>
    <t>83.4</t>
  </si>
  <si>
    <t>剖面点2</t>
  </si>
  <si>
    <t>81.4</t>
  </si>
  <si>
    <t>剖面点3</t>
  </si>
  <si>
    <t>73.5</t>
  </si>
  <si>
    <t>剖面点4</t>
  </si>
  <si>
    <t>75.3</t>
  </si>
  <si>
    <t>剖面点5</t>
  </si>
  <si>
    <t>72.9</t>
  </si>
  <si>
    <t>剖面点6</t>
  </si>
  <si>
    <t>83.5</t>
  </si>
  <si>
    <t>剖面点7</t>
  </si>
  <si>
    <t>88.1</t>
  </si>
  <si>
    <t>剖面点8</t>
  </si>
  <si>
    <t>87.9</t>
  </si>
  <si>
    <t>剖面点9</t>
  </si>
  <si>
    <t>89.3</t>
  </si>
  <si>
    <t>剖面点10</t>
  </si>
  <si>
    <t>91.5</t>
  </si>
  <si>
    <t>剖面点12</t>
  </si>
  <si>
    <t>79.5</t>
  </si>
  <si>
    <t>剖面点13</t>
  </si>
  <si>
    <t>90.2</t>
  </si>
  <si>
    <t>剖面点14</t>
  </si>
  <si>
    <t>104.2</t>
  </si>
  <si>
    <t>剖面点15</t>
  </si>
  <si>
    <t>118.2</t>
  </si>
  <si>
    <t>剖面点16</t>
  </si>
  <si>
    <t>125.1</t>
  </si>
  <si>
    <t>剖面点17</t>
  </si>
  <si>
    <t>129.8</t>
  </si>
  <si>
    <t>剖面点18</t>
  </si>
  <si>
    <t>132.3</t>
  </si>
  <si>
    <t>夏总计算结果</t>
  </si>
  <si>
    <t>导线号</t>
  </si>
  <si>
    <t>X</t>
  </si>
  <si>
    <t>Y</t>
  </si>
  <si>
    <t>GPS高程</t>
  </si>
  <si>
    <t>校正坐标X</t>
  </si>
  <si>
    <t>校正坐标Y</t>
  </si>
  <si>
    <t>方位角</t>
  </si>
  <si>
    <t>坡角</t>
  </si>
  <si>
    <t>斜距</t>
  </si>
  <si>
    <t>地形图高程</t>
  </si>
  <si>
    <t>总方位角</t>
  </si>
  <si>
    <t>69°</t>
  </si>
  <si>
    <r>
      <rPr>
        <sz val="16"/>
        <rFont val="仿宋"/>
        <charset val="134"/>
      </rPr>
      <t>地质</t>
    </r>
    <r>
      <rPr>
        <sz val="16"/>
        <rFont val="Times New Roman"/>
        <charset val="134"/>
      </rPr>
      <t>-</t>
    </r>
    <r>
      <rPr>
        <sz val="16"/>
        <rFont val="仿宋"/>
        <charset val="134"/>
      </rPr>
      <t>水文地质实测剖面数据校正表</t>
    </r>
  </si>
  <si>
    <r>
      <rPr>
        <sz val="10"/>
        <rFont val="仿宋"/>
        <charset val="134"/>
      </rPr>
      <t>导线号</t>
    </r>
  </si>
  <si>
    <r>
      <rPr>
        <sz val="10"/>
        <rFont val="仿宋"/>
        <charset val="134"/>
      </rPr>
      <t>方位角</t>
    </r>
    <r>
      <rPr>
        <sz val="10"/>
        <rFont val="Times New Roman"/>
        <charset val="134"/>
      </rPr>
      <t>α</t>
    </r>
  </si>
  <si>
    <r>
      <rPr>
        <sz val="10"/>
        <rFont val="仿宋"/>
        <charset val="134"/>
      </rPr>
      <t>斜距</t>
    </r>
  </si>
  <si>
    <t>ΔX</t>
  </si>
  <si>
    <t>ΔY</t>
  </si>
  <si>
    <r>
      <rPr>
        <sz val="10"/>
        <rFont val="仿宋"/>
        <charset val="134"/>
      </rPr>
      <t>平距</t>
    </r>
  </si>
  <si>
    <r>
      <rPr>
        <sz val="10"/>
        <rFont val="仿宋"/>
        <charset val="134"/>
      </rPr>
      <t>高程</t>
    </r>
  </si>
  <si>
    <r>
      <rPr>
        <sz val="10"/>
        <rFont val="仿宋"/>
        <charset val="134"/>
      </rPr>
      <t>高差</t>
    </r>
  </si>
  <si>
    <r>
      <rPr>
        <sz val="10"/>
        <rFont val="仿宋"/>
        <charset val="134"/>
      </rPr>
      <t>累计高差</t>
    </r>
  </si>
  <si>
    <r>
      <rPr>
        <sz val="10"/>
        <rFont val="仿宋"/>
        <charset val="134"/>
      </rPr>
      <t>坡度角</t>
    </r>
    <r>
      <rPr>
        <sz val="10"/>
        <rFont val="Times New Roman"/>
        <charset val="134"/>
      </rPr>
      <t>β</t>
    </r>
  </si>
  <si>
    <r>
      <rPr>
        <sz val="10"/>
        <rFont val="仿宋"/>
        <charset val="134"/>
      </rPr>
      <t>剖面总方向</t>
    </r>
    <r>
      <rPr>
        <sz val="10"/>
        <rFont val="Times New Roman"/>
        <charset val="134"/>
      </rPr>
      <t>γ</t>
    </r>
  </si>
  <si>
    <r>
      <rPr>
        <sz val="10"/>
        <rFont val="仿宋"/>
        <charset val="134"/>
      </rPr>
      <t>累计平距</t>
    </r>
  </si>
  <si>
    <r>
      <rPr>
        <sz val="10"/>
        <rFont val="仿宋"/>
        <charset val="134"/>
      </rPr>
      <t>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方位角</t>
    </r>
  </si>
  <si>
    <r>
      <rPr>
        <sz val="10"/>
        <rFont val="仿宋"/>
        <charset val="134"/>
      </rPr>
      <t>实测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修正斜距</t>
    </r>
  </si>
  <si>
    <r>
      <rPr>
        <sz val="10"/>
        <rFont val="仿宋"/>
        <charset val="134"/>
      </rPr>
      <t>坐标理论</t>
    </r>
    <r>
      <rPr>
        <sz val="10"/>
        <rFont val="Times New Roman"/>
        <charset val="134"/>
      </rPr>
      <t>ΔX</t>
    </r>
  </si>
  <si>
    <r>
      <rPr>
        <sz val="10"/>
        <rFont val="仿宋"/>
        <charset val="134"/>
      </rPr>
      <t>坐标理论</t>
    </r>
    <r>
      <rPr>
        <sz val="10"/>
        <rFont val="Times New Roman"/>
        <charset val="134"/>
      </rPr>
      <t>ΔY</t>
    </r>
  </si>
  <si>
    <r>
      <rPr>
        <sz val="10"/>
        <rFont val="仿宋"/>
        <charset val="134"/>
      </rPr>
      <t>坐标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理论平距</t>
    </r>
  </si>
  <si>
    <r>
      <rPr>
        <sz val="10"/>
        <rFont val="仿宋"/>
        <charset val="134"/>
      </rPr>
      <t>坐标理论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累积平距</t>
    </r>
  </si>
  <si>
    <r>
      <rPr>
        <sz val="10"/>
        <rFont val="仿宋"/>
        <charset val="134"/>
      </rPr>
      <t>地形图高程</t>
    </r>
  </si>
  <si>
    <r>
      <rPr>
        <sz val="10"/>
        <rFont val="仿宋"/>
        <charset val="134"/>
      </rPr>
      <t>地形图高差</t>
    </r>
  </si>
  <si>
    <r>
      <rPr>
        <sz val="10"/>
        <rFont val="仿宋"/>
        <charset val="134"/>
      </rPr>
      <t>实测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修正高差</t>
    </r>
  </si>
  <si>
    <r>
      <rPr>
        <sz val="10"/>
        <rFont val="仿宋"/>
        <charset val="134"/>
      </rPr>
      <t>地形图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累积高差</t>
    </r>
  </si>
  <si>
    <r>
      <rPr>
        <sz val="10"/>
        <rFont val="仿宋"/>
        <charset val="134"/>
      </rPr>
      <t>实测修正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累积高差</t>
    </r>
  </si>
  <si>
    <r>
      <rPr>
        <sz val="10"/>
        <rFont val="仿宋"/>
        <charset val="134"/>
      </rPr>
      <t>坐标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理论坡角</t>
    </r>
  </si>
  <si>
    <r>
      <rPr>
        <sz val="10"/>
        <rFont val="仿宋"/>
        <charset val="134"/>
      </rPr>
      <t>实测修正坡角</t>
    </r>
    <r>
      <rPr>
        <sz val="10"/>
        <rFont val="Times New Roman"/>
        <charset val="134"/>
      </rPr>
      <t xml:space="preserve">=
</t>
    </r>
    <r>
      <rPr>
        <sz val="10"/>
        <rFont val="仿宋"/>
        <charset val="134"/>
      </rPr>
      <t>理论坡角四舍五入取整</t>
    </r>
  </si>
  <si>
    <r>
      <rPr>
        <sz val="10"/>
        <rFont val="仿宋"/>
        <charset val="134"/>
      </rPr>
      <t>实测修正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坡角余弦值</t>
    </r>
  </si>
  <si>
    <t>γ-α</t>
  </si>
  <si>
    <t>cos(γ-α)</t>
  </si>
  <si>
    <r>
      <rPr>
        <sz val="10"/>
        <rFont val="仿宋"/>
        <charset val="134"/>
      </rPr>
      <t>剖面方向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坐标理论平距</t>
    </r>
  </si>
  <si>
    <r>
      <rPr>
        <sz val="10"/>
        <rFont val="仿宋"/>
        <charset val="134"/>
      </rPr>
      <t>剖面方向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坐标理论累计平距</t>
    </r>
  </si>
  <si>
    <r>
      <rPr>
        <sz val="10"/>
        <rFont val="仿宋"/>
        <charset val="134"/>
      </rPr>
      <t>正</t>
    </r>
  </si>
  <si>
    <t>cos</t>
  </si>
  <si>
    <r>
      <rPr>
        <sz val="10"/>
        <rFont val="仿宋"/>
        <charset val="134"/>
      </rPr>
      <t>坐标理论斜距</t>
    </r>
  </si>
  <si>
    <r>
      <rPr>
        <sz val="10"/>
        <rFont val="仿宋"/>
        <charset val="134"/>
      </rPr>
      <t>总方位角</t>
    </r>
  </si>
  <si>
    <t xml:space="preserve">  </t>
  </si>
  <si>
    <t>坐标理论平距和实测理论平均的误差来源</t>
  </si>
  <si>
    <r>
      <rPr>
        <sz val="10"/>
        <rFont val="仿宋"/>
        <charset val="134"/>
      </rPr>
      <t>实测高程</t>
    </r>
  </si>
  <si>
    <r>
      <rPr>
        <sz val="10"/>
        <rFont val="仿宋"/>
        <charset val="134"/>
      </rPr>
      <t>实测理论平距</t>
    </r>
  </si>
  <si>
    <r>
      <t>实测理论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累计平距</t>
    </r>
  </si>
  <si>
    <r>
      <rPr>
        <sz val="10"/>
        <rFont val="仿宋"/>
        <charset val="134"/>
      </rPr>
      <t>实测理论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坡度角正弦值</t>
    </r>
  </si>
  <si>
    <r>
      <rPr>
        <sz val="10"/>
        <rFont val="仿宋"/>
        <charset val="134"/>
      </rPr>
      <t>实测理论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坡度角正弦值弧度</t>
    </r>
  </si>
  <si>
    <r>
      <rPr>
        <sz val="10"/>
        <rFont val="仿宋"/>
        <charset val="134"/>
      </rPr>
      <t>实测理论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坡度角</t>
    </r>
  </si>
  <si>
    <r>
      <rPr>
        <sz val="10"/>
        <rFont val="仿宋"/>
        <charset val="134"/>
      </rPr>
      <t>实测修正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坡度角</t>
    </r>
    <r>
      <rPr>
        <sz val="10"/>
        <rFont val="Times New Roman"/>
        <charset val="134"/>
      </rPr>
      <t>β</t>
    </r>
  </si>
  <si>
    <t>cosβ</t>
  </si>
  <si>
    <t>sinβ</t>
  </si>
  <si>
    <r>
      <rPr>
        <sz val="10"/>
        <rFont val="仿宋"/>
        <charset val="134"/>
      </rPr>
      <t>实测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理论高差</t>
    </r>
  </si>
  <si>
    <r>
      <rPr>
        <sz val="10"/>
        <rFont val="仿宋"/>
        <charset val="134"/>
      </rPr>
      <t>实测理论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累计高差</t>
    </r>
  </si>
  <si>
    <r>
      <rPr>
        <sz val="10"/>
        <rFont val="仿宋"/>
        <charset val="134"/>
      </rPr>
      <t>剖面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总方向</t>
    </r>
    <r>
      <rPr>
        <sz val="10"/>
        <rFont val="Times New Roman"/>
        <charset val="134"/>
      </rPr>
      <t>γ</t>
    </r>
  </si>
  <si>
    <t>cos(α-γ)</t>
  </si>
  <si>
    <r>
      <rPr>
        <sz val="10"/>
        <rFont val="仿宋"/>
        <charset val="134"/>
      </rPr>
      <t>实测理论剖面方向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投影平距</t>
    </r>
  </si>
  <si>
    <r>
      <rPr>
        <sz val="10"/>
        <rFont val="仿宋"/>
        <charset val="134"/>
      </rPr>
      <t>实测理论</t>
    </r>
    <r>
      <rPr>
        <sz val="10"/>
        <rFont val="Times New Roman"/>
        <charset val="134"/>
      </rPr>
      <t xml:space="preserve">
</t>
    </r>
    <r>
      <rPr>
        <sz val="10"/>
        <rFont val="仿宋"/>
        <charset val="134"/>
      </rPr>
      <t>剖面总平距</t>
    </r>
  </si>
  <si>
    <r>
      <rPr>
        <sz val="10"/>
        <rFont val="仿宋"/>
        <charset val="134"/>
      </rPr>
      <t>实测理论剖面垂向距离</t>
    </r>
  </si>
  <si>
    <r>
      <rPr>
        <sz val="12"/>
        <rFont val="仿宋"/>
        <charset val="134"/>
      </rPr>
      <t>实测理论剖面垂向距离</t>
    </r>
  </si>
  <si>
    <r>
      <rPr>
        <sz val="10"/>
        <rFont val="仿宋"/>
        <charset val="134"/>
      </rPr>
      <t>输入</t>
    </r>
  </si>
  <si>
    <r>
      <rPr>
        <sz val="10"/>
        <color indexed="10"/>
        <rFont val="仿宋"/>
        <charset val="134"/>
      </rPr>
      <t>垂直</t>
    </r>
  </si>
  <si>
    <r>
      <rPr>
        <sz val="10"/>
        <color indexed="10"/>
        <rFont val="仿宋"/>
        <charset val="134"/>
      </rPr>
      <t>横向</t>
    </r>
  </si>
  <si>
    <r>
      <rPr>
        <sz val="12"/>
        <rFont val="仿宋"/>
        <charset val="134"/>
      </rPr>
      <t>理论方位角</t>
    </r>
  </si>
  <si>
    <r>
      <rPr>
        <sz val="12"/>
        <rFont val="仿宋"/>
        <charset val="134"/>
      </rPr>
      <t>根据导线两端点平面坐标计算的方位角</t>
    </r>
  </si>
  <si>
    <r>
      <rPr>
        <sz val="12"/>
        <rFont val="仿宋"/>
        <charset val="134"/>
      </rPr>
      <t>坐标理论</t>
    </r>
    <r>
      <rPr>
        <sz val="12"/>
        <rFont val="Times New Roman"/>
        <charset val="134"/>
      </rPr>
      <t>ΔX/ΔY</t>
    </r>
  </si>
  <si>
    <r>
      <rPr>
        <sz val="12"/>
        <rFont val="仿宋"/>
        <charset val="134"/>
      </rPr>
      <t>根据导线两端点平面坐标计算的</t>
    </r>
    <r>
      <rPr>
        <sz val="12"/>
        <rFont val="Times New Roman"/>
        <charset val="134"/>
      </rPr>
      <t>x</t>
    </r>
    <r>
      <rPr>
        <sz val="12"/>
        <rFont val="仿宋"/>
        <charset val="134"/>
      </rPr>
      <t>轴投影距离和</t>
    </r>
    <r>
      <rPr>
        <sz val="12"/>
        <rFont val="Times New Roman"/>
        <charset val="134"/>
      </rPr>
      <t>Y</t>
    </r>
    <r>
      <rPr>
        <sz val="12"/>
        <rFont val="仿宋"/>
        <charset val="134"/>
      </rPr>
      <t>轴投影距离</t>
    </r>
  </si>
  <si>
    <r>
      <rPr>
        <sz val="12"/>
        <rFont val="仿宋"/>
        <charset val="134"/>
      </rPr>
      <t>坐标理论平距</t>
    </r>
  </si>
  <si>
    <r>
      <rPr>
        <sz val="12"/>
        <rFont val="仿宋"/>
        <charset val="134"/>
      </rPr>
      <t>根据导线两端点平面坐标计算的两端点在</t>
    </r>
    <r>
      <rPr>
        <sz val="12"/>
        <rFont val="Times New Roman"/>
        <charset val="134"/>
      </rPr>
      <t>XOY</t>
    </r>
    <r>
      <rPr>
        <sz val="12"/>
        <rFont val="仿宋"/>
        <charset val="134"/>
      </rPr>
      <t>平面投影距离</t>
    </r>
  </si>
  <si>
    <r>
      <rPr>
        <sz val="11"/>
        <color theme="1"/>
        <rFont val="仿宋"/>
        <charset val="134"/>
      </rPr>
      <t>坐标理论累积平距</t>
    </r>
  </si>
  <si>
    <r>
      <rPr>
        <sz val="12"/>
        <rFont val="仿宋"/>
        <charset val="134"/>
      </rPr>
      <t>该导线与前面所有导线坐标理论平距的累计值</t>
    </r>
  </si>
  <si>
    <r>
      <rPr>
        <sz val="11"/>
        <color theme="1"/>
        <rFont val="仿宋"/>
        <charset val="134"/>
      </rPr>
      <t>地形图高程</t>
    </r>
  </si>
  <si>
    <r>
      <rPr>
        <sz val="12"/>
        <rFont val="仿宋"/>
        <charset val="134"/>
      </rPr>
      <t>平面坐标投影到地形图上的高程</t>
    </r>
  </si>
  <si>
    <r>
      <rPr>
        <sz val="11"/>
        <color theme="1"/>
        <rFont val="仿宋"/>
        <charset val="134"/>
      </rPr>
      <t>地形图高差</t>
    </r>
  </si>
  <si>
    <r>
      <rPr>
        <sz val="12"/>
        <rFont val="仿宋"/>
        <charset val="134"/>
      </rPr>
      <t>导线前端地形图高程</t>
    </r>
    <r>
      <rPr>
        <sz val="12"/>
        <rFont val="Times New Roman"/>
        <charset val="134"/>
      </rPr>
      <t>-</t>
    </r>
    <r>
      <rPr>
        <sz val="12"/>
        <rFont val="仿宋"/>
        <charset val="134"/>
      </rPr>
      <t>导线后端地形图高程</t>
    </r>
  </si>
  <si>
    <r>
      <rPr>
        <sz val="11"/>
        <color theme="1"/>
        <rFont val="仿宋"/>
        <charset val="134"/>
      </rPr>
      <t>地形图累积高差</t>
    </r>
  </si>
  <si>
    <r>
      <rPr>
        <sz val="12"/>
        <rFont val="仿宋"/>
        <charset val="134"/>
      </rPr>
      <t>该导线与前面所有导线实测地形图高差的累计值</t>
    </r>
  </si>
  <si>
    <r>
      <rPr>
        <sz val="11"/>
        <color theme="1"/>
        <rFont val="仿宋"/>
        <charset val="134"/>
      </rPr>
      <t>坐标理论斜距</t>
    </r>
  </si>
  <si>
    <r>
      <rPr>
        <sz val="12"/>
        <rFont val="仿宋"/>
        <charset val="134"/>
      </rPr>
      <t>平面坐标计算的理论平均</t>
    </r>
    <r>
      <rPr>
        <sz val="12"/>
        <rFont val="Times New Roman"/>
        <charset val="134"/>
      </rPr>
      <t>/</t>
    </r>
    <r>
      <rPr>
        <sz val="12"/>
        <rFont val="仿宋"/>
        <charset val="134"/>
      </rPr>
      <t>坐标理论坡角的余弦值</t>
    </r>
  </si>
  <si>
    <r>
      <rPr>
        <sz val="11"/>
        <color theme="1"/>
        <rFont val="仿宋"/>
        <charset val="134"/>
      </rPr>
      <t>实测修正斜距</t>
    </r>
  </si>
  <si>
    <r>
      <rPr>
        <sz val="12"/>
        <rFont val="仿宋"/>
        <charset val="134"/>
      </rPr>
      <t>平面坐标计算的理论斜距</t>
    </r>
    <r>
      <rPr>
        <sz val="12"/>
        <rFont val="Times New Roman"/>
        <charset val="134"/>
      </rPr>
      <t>/</t>
    </r>
    <r>
      <rPr>
        <sz val="12"/>
        <rFont val="仿宋"/>
        <charset val="134"/>
      </rPr>
      <t>实测修正坡角的余弦值</t>
    </r>
  </si>
  <si>
    <r>
      <rPr>
        <sz val="11"/>
        <color theme="1"/>
        <rFont val="仿宋"/>
        <charset val="134"/>
      </rPr>
      <t>坐标理论坡角</t>
    </r>
  </si>
  <si>
    <r>
      <rPr>
        <sz val="12"/>
        <rFont val="仿宋"/>
        <charset val="134"/>
      </rPr>
      <t>（该导线的实测地形图高差</t>
    </r>
    <r>
      <rPr>
        <sz val="12"/>
        <rFont val="Times New Roman"/>
        <charset val="134"/>
      </rPr>
      <t>/</t>
    </r>
    <r>
      <rPr>
        <sz val="12"/>
        <rFont val="仿宋"/>
        <charset val="134"/>
      </rPr>
      <t>平面坐标计算的理论平距）的反正切值</t>
    </r>
  </si>
  <si>
    <r>
      <rPr>
        <sz val="11"/>
        <color theme="1"/>
        <rFont val="仿宋"/>
        <charset val="134"/>
      </rPr>
      <t>实测修正坡角</t>
    </r>
  </si>
  <si>
    <r>
      <rPr>
        <sz val="12"/>
        <rFont val="仿宋"/>
        <charset val="134"/>
      </rPr>
      <t>坐标理论坡角四射五入取整（野外坡角只能读整数）</t>
    </r>
  </si>
  <si>
    <r>
      <rPr>
        <sz val="12"/>
        <rFont val="仿宋"/>
        <charset val="134"/>
      </rPr>
      <t>实测修正高差</t>
    </r>
  </si>
  <si>
    <r>
      <rPr>
        <sz val="12"/>
        <rFont val="仿宋"/>
        <charset val="134"/>
      </rPr>
      <t>实测修正斜距</t>
    </r>
    <r>
      <rPr>
        <sz val="12"/>
        <rFont val="Times New Roman"/>
        <charset val="134"/>
      </rPr>
      <t>/</t>
    </r>
    <r>
      <rPr>
        <sz val="12"/>
        <rFont val="仿宋"/>
        <charset val="134"/>
      </rPr>
      <t>实测修正坡角</t>
    </r>
  </si>
  <si>
    <r>
      <rPr>
        <sz val="11"/>
        <color theme="1"/>
        <rFont val="仿宋"/>
        <charset val="134"/>
      </rPr>
      <t>实测修正累积高差</t>
    </r>
  </si>
  <si>
    <r>
      <rPr>
        <sz val="12"/>
        <rFont val="仿宋"/>
        <charset val="134"/>
      </rPr>
      <t>该导线与前面所有导线实测修正高差的累计值</t>
    </r>
  </si>
  <si>
    <r>
      <rPr>
        <b/>
        <sz val="12"/>
        <color theme="1"/>
        <rFont val="仿宋"/>
        <charset val="134"/>
      </rPr>
      <t>徐余冲饮用天然矿泉水水源地</t>
    </r>
    <r>
      <rPr>
        <b/>
        <sz val="12"/>
        <color theme="1"/>
        <rFont val="Times New Roman"/>
        <charset val="134"/>
      </rPr>
      <t>a-a'</t>
    </r>
    <r>
      <rPr>
        <b/>
        <sz val="12"/>
        <color theme="1"/>
        <rFont val="仿宋"/>
        <charset val="134"/>
      </rPr>
      <t>地质</t>
    </r>
    <r>
      <rPr>
        <b/>
        <sz val="12"/>
        <color theme="1"/>
        <rFont val="Times New Roman"/>
        <charset val="134"/>
      </rPr>
      <t>-</t>
    </r>
    <r>
      <rPr>
        <b/>
        <sz val="12"/>
        <color theme="1"/>
        <rFont val="仿宋"/>
        <charset val="134"/>
      </rPr>
      <t>水文地质剖面实测数据校正表</t>
    </r>
  </si>
  <si>
    <r>
      <rPr>
        <b/>
        <sz val="10"/>
        <rFont val="仿宋"/>
        <charset val="134"/>
      </rPr>
      <t>方位角</t>
    </r>
    <r>
      <rPr>
        <b/>
        <sz val="10"/>
        <rFont val="Times New Roman"/>
        <charset val="134"/>
      </rPr>
      <t>α</t>
    </r>
  </si>
  <si>
    <t>平距</t>
  </si>
  <si>
    <t>高差</t>
  </si>
  <si>
    <t>累计高差</t>
  </si>
  <si>
    <r>
      <rPr>
        <b/>
        <sz val="10"/>
        <rFont val="仿宋"/>
        <charset val="134"/>
      </rPr>
      <t>坡度角</t>
    </r>
    <r>
      <rPr>
        <b/>
        <sz val="10"/>
        <rFont val="Times New Roman"/>
        <charset val="134"/>
      </rPr>
      <t>β</t>
    </r>
  </si>
  <si>
    <r>
      <rPr>
        <b/>
        <sz val="10"/>
        <rFont val="仿宋"/>
        <charset val="134"/>
      </rPr>
      <t>剖面总方向</t>
    </r>
    <r>
      <rPr>
        <b/>
        <sz val="10"/>
        <rFont val="Times New Roman"/>
        <charset val="134"/>
      </rPr>
      <t>γ</t>
    </r>
  </si>
  <si>
    <t>正</t>
  </si>
  <si>
    <t>计算平距</t>
  </si>
  <si>
    <r>
      <rPr>
        <b/>
        <sz val="12"/>
        <color theme="1"/>
        <rFont val="仿宋"/>
        <charset val="134"/>
      </rPr>
      <t>徐余冲饮用天然矿泉水水源地</t>
    </r>
    <r>
      <rPr>
        <b/>
        <sz val="12"/>
        <color theme="1"/>
        <rFont val="Times New Roman"/>
        <charset val="134"/>
      </rPr>
      <t>a-a'</t>
    </r>
    <r>
      <rPr>
        <b/>
        <sz val="12"/>
        <color theme="1"/>
        <rFont val="仿宋"/>
        <charset val="134"/>
      </rPr>
      <t>地质</t>
    </r>
    <r>
      <rPr>
        <b/>
        <sz val="12"/>
        <color theme="1"/>
        <rFont val="Times New Roman"/>
        <charset val="134"/>
      </rPr>
      <t>-</t>
    </r>
    <r>
      <rPr>
        <b/>
        <sz val="12"/>
        <color theme="1"/>
        <rFont val="仿宋"/>
        <charset val="134"/>
      </rPr>
      <t>水文地质剖面实测数据计算表</t>
    </r>
  </si>
  <si>
    <t>剖面总方向γ</t>
  </si>
  <si>
    <t>累积斜距</t>
  </si>
  <si>
    <t>累计平距</t>
  </si>
  <si>
    <t>\</t>
  </si>
  <si>
    <t>方位</t>
  </si>
  <si>
    <t>Y1</t>
  </si>
  <si>
    <t>X1</t>
  </si>
  <si>
    <t>H</t>
  </si>
  <si>
    <t>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</si>
</sst>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  <numFmt numFmtId="179" formatCode="0.00_);[Red]\(0.00\)"/>
    <numFmt numFmtId="180" formatCode="0.000_);[Red]\(0.000\)"/>
    <numFmt numFmtId="181" formatCode="0;[Red]0"/>
    <numFmt numFmtId="182" formatCode="0_ ;[Red]\-0\ "/>
    <numFmt numFmtId="183" formatCode="0.00_ ;[Red]\-0.00\ "/>
    <numFmt numFmtId="184" formatCode="0.0000_ ;[Red]\-0.0000\ "/>
    <numFmt numFmtId="185" formatCode="0.00_);\(0.00\)"/>
    <numFmt numFmtId="186" formatCode="0.00;[Red]0.00"/>
    <numFmt numFmtId="187" formatCode="0.0000;[Red]0.0000"/>
    <numFmt numFmtId="188" formatCode="0.000;[Red]0.000"/>
    <numFmt numFmtId="189" formatCode="0.0000_ "/>
  </numFmts>
  <fonts count="4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2"/>
      <color theme="1"/>
      <name val="仿宋"/>
      <charset val="134"/>
    </font>
    <font>
      <b/>
      <sz val="12"/>
      <color theme="1"/>
      <name val="Times New Roman"/>
      <charset val="134"/>
    </font>
    <font>
      <b/>
      <sz val="10"/>
      <name val="仿宋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10"/>
      <name val="宋体"/>
      <charset val="134"/>
    </font>
    <font>
      <sz val="9"/>
      <name val="仿宋"/>
      <charset val="134"/>
    </font>
    <font>
      <sz val="12"/>
      <name val="Times New Roman"/>
      <charset val="134"/>
    </font>
    <font>
      <sz val="16"/>
      <name val="仿宋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sz val="10"/>
      <name val="仿宋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indexed="10"/>
      <name val="Times New Roman"/>
      <charset val="134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仿宋"/>
      <charset val="134"/>
    </font>
    <font>
      <sz val="11"/>
      <color theme="1"/>
      <name val="仿宋"/>
      <charset val="134"/>
    </font>
    <font>
      <sz val="10"/>
      <color indexed="10"/>
      <name val="仿宋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8" borderId="2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27" applyNumberFormat="0" applyAlignment="0" applyProtection="0">
      <alignment vertical="center"/>
    </xf>
    <xf numFmtId="0" fontId="34" fillId="10" borderId="28" applyNumberFormat="0" applyAlignment="0" applyProtection="0">
      <alignment vertical="center"/>
    </xf>
    <xf numFmtId="0" fontId="35" fillId="10" borderId="27" applyNumberFormat="0" applyAlignment="0" applyProtection="0">
      <alignment vertical="center"/>
    </xf>
    <xf numFmtId="0" fontId="36" fillId="11" borderId="29" applyNumberFormat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</cellStyleXfs>
  <cellXfs count="1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49"/>
    <xf numFmtId="176" fontId="0" fillId="0" borderId="0" xfId="0" applyNumberFormat="1">
      <alignment vertical="center"/>
    </xf>
    <xf numFmtId="0" fontId="2" fillId="0" borderId="0" xfId="49" applyFont="1" applyAlignment="1">
      <alignment horizontal="center"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 applyAlignment="1"/>
    <xf numFmtId="176" fontId="1" fillId="0" borderId="0" xfId="0" applyNumberFormat="1" applyFont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180" fontId="7" fillId="0" borderId="2" xfId="0" applyNumberFormat="1" applyFont="1" applyBorder="1" applyAlignment="1">
      <alignment horizontal="center" vertical="center"/>
    </xf>
    <xf numFmtId="0" fontId="7" fillId="0" borderId="2" xfId="50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 applyAlignment="1">
      <alignment horizontal="center" vertical="center"/>
    </xf>
    <xf numFmtId="179" fontId="7" fillId="2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83" fontId="7" fillId="0" borderId="2" xfId="0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2" fontId="7" fillId="0" borderId="2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5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 wrapText="1"/>
    </xf>
    <xf numFmtId="178" fontId="15" fillId="3" borderId="2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1" fillId="0" borderId="2" xfId="5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81" fontId="14" fillId="0" borderId="2" xfId="0" applyNumberFormat="1" applyFont="1" applyFill="1" applyBorder="1" applyAlignment="1">
      <alignment horizontal="center" vertical="center"/>
    </xf>
    <xf numFmtId="181" fontId="14" fillId="0" borderId="2" xfId="0" applyNumberFormat="1" applyFont="1" applyBorder="1" applyAlignment="1">
      <alignment horizontal="center" vertical="center"/>
    </xf>
    <xf numFmtId="178" fontId="14" fillId="0" borderId="2" xfId="0" applyNumberFormat="1" applyFont="1" applyBorder="1" applyAlignment="1">
      <alignment horizontal="center" vertical="center"/>
    </xf>
    <xf numFmtId="181" fontId="17" fillId="0" borderId="2" xfId="0" applyNumberFormat="1" applyFont="1" applyFill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178" fontId="15" fillId="0" borderId="2" xfId="0" applyNumberFormat="1" applyFont="1" applyBorder="1" applyAlignment="1">
      <alignment horizontal="center" vertical="center" wrapText="1"/>
    </xf>
    <xf numFmtId="0" fontId="11" fillId="0" borderId="5" xfId="5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185" fontId="14" fillId="0" borderId="2" xfId="0" applyNumberFormat="1" applyFont="1" applyBorder="1" applyAlignment="1">
      <alignment horizontal="center" vertical="center"/>
    </xf>
    <xf numFmtId="186" fontId="14" fillId="0" borderId="2" xfId="0" applyNumberFormat="1" applyFont="1" applyBorder="1" applyAlignment="1">
      <alignment horizontal="center" vertical="center"/>
    </xf>
    <xf numFmtId="187" fontId="14" fillId="0" borderId="2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86" fontId="14" fillId="0" borderId="9" xfId="0" applyNumberFormat="1" applyFont="1" applyBorder="1" applyAlignment="1">
      <alignment horizontal="center" vertical="center"/>
    </xf>
    <xf numFmtId="186" fontId="14" fillId="0" borderId="8" xfId="0" applyNumberFormat="1" applyFont="1" applyFill="1" applyBorder="1" applyAlignment="1">
      <alignment horizontal="center" vertical="center"/>
    </xf>
    <xf numFmtId="186" fontId="14" fillId="0" borderId="1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86" fontId="16" fillId="0" borderId="14" xfId="0" applyNumberFormat="1" applyFont="1" applyBorder="1" applyAlignment="1">
      <alignment horizontal="center" vertical="center"/>
    </xf>
    <xf numFmtId="188" fontId="14" fillId="0" borderId="2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181" fontId="14" fillId="5" borderId="2" xfId="0" applyNumberFormat="1" applyFont="1" applyFill="1" applyBorder="1" applyAlignment="1">
      <alignment horizontal="center" vertical="center"/>
    </xf>
    <xf numFmtId="189" fontId="14" fillId="0" borderId="2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81" fontId="14" fillId="0" borderId="17" xfId="0" applyNumberFormat="1" applyFont="1" applyFill="1" applyBorder="1" applyAlignment="1">
      <alignment horizontal="center" vertical="center"/>
    </xf>
    <xf numFmtId="187" fontId="14" fillId="0" borderId="19" xfId="0" applyNumberFormat="1" applyFont="1" applyBorder="1" applyAlignment="1">
      <alignment horizontal="center" vertical="center"/>
    </xf>
    <xf numFmtId="181" fontId="14" fillId="0" borderId="18" xfId="0" applyNumberFormat="1" applyFont="1" applyFill="1" applyBorder="1" applyAlignment="1">
      <alignment horizontal="center" vertical="center"/>
    </xf>
    <xf numFmtId="186" fontId="14" fillId="0" borderId="20" xfId="0" applyNumberFormat="1" applyFont="1" applyBorder="1" applyAlignment="1">
      <alignment horizontal="center" vertical="center"/>
    </xf>
    <xf numFmtId="181" fontId="14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14" fillId="0" borderId="2" xfId="0" applyNumberFormat="1" applyFont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177" fontId="14" fillId="6" borderId="8" xfId="0" applyNumberFormat="1" applyFont="1" applyFill="1" applyBorder="1" applyAlignment="1">
      <alignment horizontal="center" vertical="center"/>
    </xf>
    <xf numFmtId="177" fontId="14" fillId="7" borderId="17" xfId="0" applyNumberFormat="1" applyFont="1" applyFill="1" applyBorder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6" fontId="14" fillId="0" borderId="0" xfId="0" applyNumberFormat="1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78" fontId="21" fillId="0" borderId="2" xfId="0" applyNumberFormat="1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178" fontId="24" fillId="0" borderId="23" xfId="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计算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E19" sqref="E19"/>
    </sheetView>
  </sheetViews>
  <sheetFormatPr defaultColWidth="9" defaultRowHeight="13.5" outlineLevelCol="4"/>
  <cols>
    <col min="1" max="1" width="12.4416666666667" customWidth="1"/>
    <col min="2" max="2" width="14.1083333333333" customWidth="1"/>
    <col min="3" max="3" width="17.6666666666667" customWidth="1"/>
    <col min="4" max="4" width="11" customWidth="1"/>
    <col min="5" max="5" width="20" customWidth="1"/>
  </cols>
  <sheetData>
    <row r="1" ht="18.75" spans="1:5">
      <c r="A1" s="119" t="s">
        <v>0</v>
      </c>
      <c r="B1" s="119" t="s">
        <v>1</v>
      </c>
      <c r="C1" s="119" t="s">
        <v>2</v>
      </c>
      <c r="D1" s="119" t="s">
        <v>3</v>
      </c>
      <c r="E1" s="119" t="s">
        <v>4</v>
      </c>
    </row>
    <row r="2" spans="1:5">
      <c r="A2" s="120" t="s">
        <v>5</v>
      </c>
      <c r="B2" s="121">
        <v>3337660.534</v>
      </c>
      <c r="C2" s="121">
        <v>373114.538</v>
      </c>
      <c r="D2" s="120" t="s">
        <v>6</v>
      </c>
      <c r="E2" s="120" t="s">
        <v>7</v>
      </c>
    </row>
    <row r="3" spans="1:5">
      <c r="A3" s="120" t="s">
        <v>8</v>
      </c>
      <c r="B3" s="121">
        <v>3337730.483</v>
      </c>
      <c r="C3" s="121">
        <v>373193.841</v>
      </c>
      <c r="D3" s="120" t="s">
        <v>9</v>
      </c>
      <c r="E3" s="120"/>
    </row>
    <row r="4" spans="1:5">
      <c r="A4" s="120" t="s">
        <v>10</v>
      </c>
      <c r="B4" s="121">
        <v>3337753.187</v>
      </c>
      <c r="C4" s="121">
        <v>373241.064</v>
      </c>
      <c r="D4" s="120" t="s">
        <v>11</v>
      </c>
      <c r="E4" s="120"/>
    </row>
    <row r="5" spans="1:5">
      <c r="A5" s="120" t="s">
        <v>12</v>
      </c>
      <c r="B5" s="121">
        <v>3337778.075</v>
      </c>
      <c r="C5" s="121">
        <v>373310.444</v>
      </c>
      <c r="D5" s="120" t="s">
        <v>13</v>
      </c>
      <c r="E5" s="120"/>
    </row>
    <row r="6" spans="1:5">
      <c r="A6" s="120" t="s">
        <v>14</v>
      </c>
      <c r="B6" s="121">
        <v>3337802.372</v>
      </c>
      <c r="C6" s="121">
        <v>373333.289</v>
      </c>
      <c r="D6" s="120" t="s">
        <v>15</v>
      </c>
      <c r="E6" s="120"/>
    </row>
    <row r="7" spans="1:5">
      <c r="A7" s="120" t="s">
        <v>16</v>
      </c>
      <c r="B7" s="121">
        <v>3337808.362</v>
      </c>
      <c r="C7" s="121">
        <v>373382.841</v>
      </c>
      <c r="D7" s="120" t="s">
        <v>17</v>
      </c>
      <c r="E7" s="120"/>
    </row>
    <row r="8" spans="1:5">
      <c r="A8" s="120" t="s">
        <v>18</v>
      </c>
      <c r="B8" s="121">
        <v>3337839.415</v>
      </c>
      <c r="C8" s="121">
        <v>373428.826</v>
      </c>
      <c r="D8" s="120" t="s">
        <v>19</v>
      </c>
      <c r="E8" s="120"/>
    </row>
    <row r="9" spans="1:5">
      <c r="A9" s="120" t="s">
        <v>20</v>
      </c>
      <c r="B9" s="121">
        <v>3337854.005</v>
      </c>
      <c r="C9" s="121">
        <v>373492.305</v>
      </c>
      <c r="D9" s="120" t="s">
        <v>21</v>
      </c>
      <c r="E9" s="120"/>
    </row>
    <row r="10" spans="1:5">
      <c r="A10" s="120" t="s">
        <v>22</v>
      </c>
      <c r="B10" s="121">
        <v>3337874.274</v>
      </c>
      <c r="C10" s="121">
        <v>373515.119</v>
      </c>
      <c r="D10" s="120" t="s">
        <v>23</v>
      </c>
      <c r="E10" s="120"/>
    </row>
    <row r="11" spans="1:5">
      <c r="A11" s="120" t="s">
        <v>24</v>
      </c>
      <c r="B11" s="121">
        <v>3337899.472</v>
      </c>
      <c r="C11" s="121">
        <v>373612.318</v>
      </c>
      <c r="D11" s="120" t="s">
        <v>25</v>
      </c>
      <c r="E11" s="120"/>
    </row>
    <row r="12" spans="1:5">
      <c r="A12" s="120" t="s">
        <v>26</v>
      </c>
      <c r="B12" s="121">
        <v>3337919.998</v>
      </c>
      <c r="C12" s="121">
        <v>373702.861</v>
      </c>
      <c r="D12" s="120" t="s">
        <v>27</v>
      </c>
      <c r="E12" s="120"/>
    </row>
    <row r="13" spans="1:5">
      <c r="A13" s="120" t="s">
        <v>28</v>
      </c>
      <c r="B13" s="121">
        <v>3337996.556</v>
      </c>
      <c r="C13" s="121">
        <v>373856.362</v>
      </c>
      <c r="D13" s="120" t="s">
        <v>29</v>
      </c>
      <c r="E13" s="120"/>
    </row>
    <row r="14" spans="1:5">
      <c r="A14" s="120" t="s">
        <v>30</v>
      </c>
      <c r="B14" s="121">
        <v>3338004.887</v>
      </c>
      <c r="C14" s="121">
        <v>373898.519</v>
      </c>
      <c r="D14" s="120" t="s">
        <v>31</v>
      </c>
      <c r="E14" s="120"/>
    </row>
    <row r="15" spans="1:5">
      <c r="A15" s="120" t="s">
        <v>32</v>
      </c>
      <c r="B15" s="121">
        <v>3337994.788</v>
      </c>
      <c r="C15" s="121">
        <v>373945.926</v>
      </c>
      <c r="D15" s="120" t="s">
        <v>33</v>
      </c>
      <c r="E15" s="120"/>
    </row>
    <row r="16" spans="1:5">
      <c r="A16" s="120" t="s">
        <v>34</v>
      </c>
      <c r="B16" s="121">
        <v>3338015.307</v>
      </c>
      <c r="C16" s="121">
        <v>373971.247</v>
      </c>
      <c r="D16" s="120" t="s">
        <v>35</v>
      </c>
      <c r="E16" s="120"/>
    </row>
    <row r="17" spans="1:5">
      <c r="A17" s="120" t="s">
        <v>36</v>
      </c>
      <c r="B17" s="121">
        <v>3338019.206</v>
      </c>
      <c r="C17" s="121">
        <v>373984.188</v>
      </c>
      <c r="D17" s="120" t="s">
        <v>37</v>
      </c>
      <c r="E17" s="120"/>
    </row>
    <row r="18" spans="1:5">
      <c r="A18" s="120" t="s">
        <v>38</v>
      </c>
      <c r="B18" s="121">
        <v>3338019.905</v>
      </c>
      <c r="C18" s="121">
        <v>374002.168</v>
      </c>
      <c r="D18" s="120" t="s">
        <v>39</v>
      </c>
      <c r="E18" s="120"/>
    </row>
    <row r="19" spans="1:5">
      <c r="A19" s="120" t="s">
        <v>40</v>
      </c>
      <c r="B19" s="121">
        <v>3338021.039</v>
      </c>
      <c r="C19" s="121">
        <v>374027.363</v>
      </c>
      <c r="D19" s="120" t="s">
        <v>41</v>
      </c>
      <c r="E19" s="12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pane ySplit="2" topLeftCell="A3" activePane="bottomLeft" state="frozen"/>
      <selection/>
      <selection pane="bottomLeft" activeCell="C9" sqref="C9"/>
    </sheetView>
  </sheetViews>
  <sheetFormatPr defaultColWidth="9" defaultRowHeight="13.5"/>
  <cols>
    <col min="1" max="1" width="8.66666666666667" customWidth="1"/>
    <col min="2" max="2" width="14.5583333333333" customWidth="1"/>
    <col min="3" max="3" width="14.1083333333333" customWidth="1"/>
    <col min="4" max="4" width="9.10833333333333" customWidth="1"/>
    <col min="5" max="5" width="15.3333333333333" customWidth="1"/>
    <col min="6" max="6" width="14.1083333333333" customWidth="1"/>
    <col min="7" max="9" width="9.10833333333333" customWidth="1"/>
    <col min="10" max="10" width="11.5583333333333" customWidth="1"/>
  </cols>
  <sheetData>
    <row r="1" spans="11:13">
      <c r="K1" s="112" t="s">
        <v>42</v>
      </c>
      <c r="L1" s="113"/>
      <c r="M1" s="113"/>
    </row>
    <row r="2" ht="23.4" customHeight="1" spans="1:13">
      <c r="A2" s="107" t="s">
        <v>43</v>
      </c>
      <c r="B2" s="107" t="s">
        <v>44</v>
      </c>
      <c r="C2" s="107" t="s">
        <v>45</v>
      </c>
      <c r="D2" s="107" t="s">
        <v>46</v>
      </c>
      <c r="E2" s="107" t="s">
        <v>47</v>
      </c>
      <c r="F2" s="107" t="s">
        <v>48</v>
      </c>
      <c r="G2" s="107" t="s">
        <v>49</v>
      </c>
      <c r="H2" s="107" t="s">
        <v>50</v>
      </c>
      <c r="I2" s="107" t="s">
        <v>51</v>
      </c>
      <c r="J2" s="114" t="s">
        <v>52</v>
      </c>
      <c r="K2" s="114" t="s">
        <v>49</v>
      </c>
      <c r="L2" s="114" t="s">
        <v>50</v>
      </c>
      <c r="M2" s="114" t="s">
        <v>51</v>
      </c>
    </row>
    <row r="3" spans="1:13">
      <c r="A3" s="27">
        <v>0</v>
      </c>
      <c r="B3" s="108">
        <v>3337660.534</v>
      </c>
      <c r="C3" s="108">
        <v>373114.538</v>
      </c>
      <c r="D3" s="27">
        <v>90.1</v>
      </c>
      <c r="E3" s="108">
        <v>3337660.534</v>
      </c>
      <c r="F3" s="108">
        <v>373114.538</v>
      </c>
      <c r="G3" s="109"/>
      <c r="H3" s="109"/>
      <c r="I3" s="115"/>
      <c r="J3" s="116">
        <v>91.06</v>
      </c>
      <c r="K3" s="116"/>
      <c r="L3" s="116"/>
      <c r="M3" s="116"/>
    </row>
    <row r="4" spans="1:13">
      <c r="A4" s="110">
        <v>1</v>
      </c>
      <c r="B4" s="111">
        <v>3337730.483</v>
      </c>
      <c r="C4" s="111">
        <v>373193.841</v>
      </c>
      <c r="D4" s="27">
        <v>83.4</v>
      </c>
      <c r="E4" s="108">
        <v>3337724.388</v>
      </c>
      <c r="F4" s="108">
        <v>373188.635</v>
      </c>
      <c r="G4" s="109">
        <v>66</v>
      </c>
      <c r="H4" s="109">
        <v>-8</v>
      </c>
      <c r="I4" s="115">
        <v>100</v>
      </c>
      <c r="J4" s="116">
        <v>79.41</v>
      </c>
      <c r="K4" s="116">
        <v>49</v>
      </c>
      <c r="L4" s="116">
        <v>-12</v>
      </c>
      <c r="M4" s="116">
        <v>100</v>
      </c>
    </row>
    <row r="5" spans="1:13">
      <c r="A5" s="110">
        <v>2</v>
      </c>
      <c r="B5" s="111">
        <v>3337753.187</v>
      </c>
      <c r="C5" s="111">
        <v>373241.064</v>
      </c>
      <c r="D5" s="27">
        <v>81.4</v>
      </c>
      <c r="E5" s="108">
        <v>3337753.846</v>
      </c>
      <c r="F5" s="108">
        <v>373244.122</v>
      </c>
      <c r="G5" s="109">
        <v>71</v>
      </c>
      <c r="H5" s="109">
        <v>-3</v>
      </c>
      <c r="I5" s="115">
        <v>52</v>
      </c>
      <c r="J5" s="116">
        <v>77.01</v>
      </c>
      <c r="K5" s="117">
        <v>62</v>
      </c>
      <c r="L5" s="117">
        <v>-3</v>
      </c>
      <c r="M5" s="117">
        <v>63</v>
      </c>
    </row>
    <row r="6" spans="1:13">
      <c r="A6" s="110">
        <v>3</v>
      </c>
      <c r="B6" s="111">
        <v>3337778.075</v>
      </c>
      <c r="C6" s="111">
        <v>373310.444</v>
      </c>
      <c r="D6" s="27">
        <v>73.5</v>
      </c>
      <c r="E6" s="108">
        <v>3337776.828</v>
      </c>
      <c r="F6" s="108">
        <v>373306.719</v>
      </c>
      <c r="G6" s="109">
        <v>75</v>
      </c>
      <c r="H6" s="109">
        <v>2</v>
      </c>
      <c r="I6" s="115">
        <v>70</v>
      </c>
      <c r="J6" s="116">
        <v>77.2</v>
      </c>
      <c r="K6" s="117">
        <v>70</v>
      </c>
      <c r="L6" s="117">
        <v>2</v>
      </c>
      <c r="M6" s="117">
        <v>66.5</v>
      </c>
    </row>
    <row r="7" spans="1:13">
      <c r="A7" s="27">
        <v>4</v>
      </c>
      <c r="B7" s="108">
        <v>3337802.372</v>
      </c>
      <c r="C7" s="108">
        <v>373333.289</v>
      </c>
      <c r="D7" s="27">
        <v>75.3</v>
      </c>
      <c r="E7" s="108">
        <v>3337802.372</v>
      </c>
      <c r="F7" s="108">
        <v>373333.289</v>
      </c>
      <c r="G7" s="109">
        <v>50</v>
      </c>
      <c r="H7" s="109">
        <v>0</v>
      </c>
      <c r="I7" s="115">
        <v>36</v>
      </c>
      <c r="J7" s="118">
        <v>78.46</v>
      </c>
      <c r="K7" s="117">
        <v>46</v>
      </c>
      <c r="L7" s="117">
        <v>0</v>
      </c>
      <c r="M7" s="117">
        <v>36</v>
      </c>
    </row>
    <row r="8" spans="1:13">
      <c r="A8" s="27">
        <v>5</v>
      </c>
      <c r="B8" s="108">
        <v>3337808.362</v>
      </c>
      <c r="C8" s="108">
        <v>373382.841</v>
      </c>
      <c r="D8" s="27">
        <v>72.9</v>
      </c>
      <c r="E8" s="108">
        <v>3337808.362</v>
      </c>
      <c r="F8" s="108">
        <v>373382.841</v>
      </c>
      <c r="G8" s="109">
        <v>90</v>
      </c>
      <c r="H8" s="109">
        <v>-3</v>
      </c>
      <c r="I8" s="115">
        <v>50</v>
      </c>
      <c r="J8" s="118">
        <v>77.75</v>
      </c>
      <c r="K8" s="117">
        <v>83</v>
      </c>
      <c r="L8" s="117">
        <v>-3</v>
      </c>
      <c r="M8" s="117">
        <v>50</v>
      </c>
    </row>
    <row r="9" spans="1:13">
      <c r="A9" s="110">
        <v>6</v>
      </c>
      <c r="B9" s="111">
        <v>3337839.415</v>
      </c>
      <c r="C9" s="111">
        <v>373428.826</v>
      </c>
      <c r="D9" s="27">
        <v>83.5</v>
      </c>
      <c r="E9" s="108">
        <v>3337836.758</v>
      </c>
      <c r="F9" s="108">
        <v>373424.675</v>
      </c>
      <c r="G9" s="109">
        <v>62</v>
      </c>
      <c r="H9" s="109">
        <v>9</v>
      </c>
      <c r="I9" s="115">
        <v>53</v>
      </c>
      <c r="J9" s="116">
        <v>83.66</v>
      </c>
      <c r="K9" s="117">
        <v>56</v>
      </c>
      <c r="L9" s="117">
        <v>12</v>
      </c>
      <c r="M9" s="117">
        <v>53</v>
      </c>
    </row>
    <row r="10" spans="1:13">
      <c r="A10" s="27">
        <v>7</v>
      </c>
      <c r="B10" s="108">
        <v>3337854.005</v>
      </c>
      <c r="C10" s="108">
        <v>373492.305</v>
      </c>
      <c r="D10" s="27">
        <v>88.1</v>
      </c>
      <c r="E10" s="108">
        <v>3337854.005</v>
      </c>
      <c r="F10" s="108">
        <v>373492.305</v>
      </c>
      <c r="G10" s="109">
        <v>80</v>
      </c>
      <c r="H10" s="109">
        <v>7</v>
      </c>
      <c r="I10" s="115">
        <v>65</v>
      </c>
      <c r="J10" s="116">
        <v>91.57</v>
      </c>
      <c r="K10" s="117">
        <v>76</v>
      </c>
      <c r="L10" s="117">
        <v>9</v>
      </c>
      <c r="M10" s="117">
        <v>71</v>
      </c>
    </row>
    <row r="11" spans="1:13">
      <c r="A11" s="27">
        <v>8</v>
      </c>
      <c r="B11" s="108">
        <v>3337874.274</v>
      </c>
      <c r="C11" s="108">
        <v>373515.119</v>
      </c>
      <c r="D11" s="27">
        <v>87.9</v>
      </c>
      <c r="E11" s="108">
        <v>3337874.274</v>
      </c>
      <c r="F11" s="108">
        <v>373515.119</v>
      </c>
      <c r="G11" s="109">
        <v>60</v>
      </c>
      <c r="H11" s="109">
        <v>4</v>
      </c>
      <c r="I11" s="115">
        <v>31</v>
      </c>
      <c r="J11" s="116">
        <v>92.94</v>
      </c>
      <c r="K11" s="117">
        <v>48</v>
      </c>
      <c r="L11" s="117">
        <v>5</v>
      </c>
      <c r="M11" s="117">
        <v>31</v>
      </c>
    </row>
    <row r="12" spans="1:13">
      <c r="A12" s="27">
        <v>9</v>
      </c>
      <c r="B12" s="108">
        <v>3337899.472</v>
      </c>
      <c r="C12" s="108">
        <v>373612.318</v>
      </c>
      <c r="D12" s="27">
        <v>89.3</v>
      </c>
      <c r="E12" s="108">
        <v>3337899.472</v>
      </c>
      <c r="F12" s="108">
        <v>373612.318</v>
      </c>
      <c r="G12" s="109">
        <v>82</v>
      </c>
      <c r="H12" s="109">
        <v>-3</v>
      </c>
      <c r="I12" s="115">
        <v>100</v>
      </c>
      <c r="J12" s="116">
        <v>90</v>
      </c>
      <c r="K12" s="117">
        <v>75</v>
      </c>
      <c r="L12" s="117">
        <v>-2</v>
      </c>
      <c r="M12" s="117">
        <v>100</v>
      </c>
    </row>
    <row r="13" spans="1:13">
      <c r="A13" s="110">
        <v>10</v>
      </c>
      <c r="B13" s="111">
        <v>3337919.998</v>
      </c>
      <c r="C13" s="111">
        <v>373702.861</v>
      </c>
      <c r="D13" s="27">
        <v>91.5</v>
      </c>
      <c r="E13" s="108">
        <v>3337917.283</v>
      </c>
      <c r="F13" s="108">
        <v>373704.907</v>
      </c>
      <c r="G13" s="109">
        <v>81</v>
      </c>
      <c r="H13" s="109">
        <v>1</v>
      </c>
      <c r="I13" s="115">
        <v>93</v>
      </c>
      <c r="J13" s="116">
        <v>92.03</v>
      </c>
      <c r="K13" s="117">
        <v>79</v>
      </c>
      <c r="L13" s="117">
        <v>3</v>
      </c>
      <c r="M13" s="117">
        <v>94.5</v>
      </c>
    </row>
    <row r="14" spans="1:13">
      <c r="A14" s="27">
        <v>11</v>
      </c>
      <c r="B14" s="108">
        <v>3337972.453</v>
      </c>
      <c r="C14" s="108">
        <v>373781.068</v>
      </c>
      <c r="D14" s="27">
        <v>82.2</v>
      </c>
      <c r="E14" s="108">
        <v>3337972.453</v>
      </c>
      <c r="F14" s="108">
        <v>373781.068</v>
      </c>
      <c r="G14" s="109">
        <v>60</v>
      </c>
      <c r="H14" s="109">
        <v>-9</v>
      </c>
      <c r="I14" s="115">
        <v>91</v>
      </c>
      <c r="J14" s="116">
        <v>78.22</v>
      </c>
      <c r="K14" s="117">
        <v>54</v>
      </c>
      <c r="L14" s="117">
        <v>-7</v>
      </c>
      <c r="M14" s="117">
        <v>94.5</v>
      </c>
    </row>
    <row r="15" spans="1:13">
      <c r="A15" s="110">
        <v>12</v>
      </c>
      <c r="B15" s="111">
        <v>3337996.556</v>
      </c>
      <c r="C15" s="111">
        <v>373856.362</v>
      </c>
      <c r="D15" s="27">
        <v>79.5</v>
      </c>
      <c r="E15" s="108">
        <v>3337997.291</v>
      </c>
      <c r="F15" s="108">
        <v>373864.769</v>
      </c>
      <c r="G15" s="109">
        <v>78</v>
      </c>
      <c r="H15" s="109">
        <v>-1</v>
      </c>
      <c r="I15" s="115">
        <v>82</v>
      </c>
      <c r="J15" s="116">
        <v>79.33</v>
      </c>
      <c r="K15" s="117">
        <v>73</v>
      </c>
      <c r="L15" s="117">
        <v>-2</v>
      </c>
      <c r="M15" s="117">
        <v>87.5</v>
      </c>
    </row>
    <row r="16" spans="1:13">
      <c r="A16" s="27">
        <v>13</v>
      </c>
      <c r="B16" s="108">
        <v>3338004.887</v>
      </c>
      <c r="C16" s="108">
        <v>373898.519</v>
      </c>
      <c r="D16" s="27">
        <v>90.2</v>
      </c>
      <c r="E16" s="108">
        <v>3338004.887</v>
      </c>
      <c r="F16" s="108">
        <v>373898.519</v>
      </c>
      <c r="G16" s="109">
        <v>86</v>
      </c>
      <c r="H16" s="109">
        <v>15</v>
      </c>
      <c r="I16" s="115">
        <v>43</v>
      </c>
      <c r="J16" s="116">
        <v>86.43</v>
      </c>
      <c r="K16" s="117">
        <v>77</v>
      </c>
      <c r="L16" s="117">
        <v>16</v>
      </c>
      <c r="M16" s="117">
        <v>36</v>
      </c>
    </row>
    <row r="17" spans="1:13">
      <c r="A17" s="27">
        <v>14</v>
      </c>
      <c r="B17" s="108">
        <v>3337994.788</v>
      </c>
      <c r="C17" s="108">
        <v>373945.926</v>
      </c>
      <c r="D17" s="27">
        <v>104.2</v>
      </c>
      <c r="E17" s="108">
        <v>3337994.788</v>
      </c>
      <c r="F17" s="108">
        <v>373945.926</v>
      </c>
      <c r="G17" s="109">
        <v>94</v>
      </c>
      <c r="H17" s="109">
        <v>23</v>
      </c>
      <c r="I17" s="115">
        <v>51</v>
      </c>
      <c r="J17" s="116">
        <v>106.11</v>
      </c>
      <c r="K17" s="117">
        <v>102</v>
      </c>
      <c r="L17" s="117">
        <v>24</v>
      </c>
      <c r="M17" s="117">
        <v>53</v>
      </c>
    </row>
    <row r="18" spans="1:13">
      <c r="A18" s="27">
        <v>15</v>
      </c>
      <c r="B18" s="108">
        <v>3338015.307</v>
      </c>
      <c r="C18" s="108">
        <v>373971.247</v>
      </c>
      <c r="D18" s="27">
        <v>118.2</v>
      </c>
      <c r="E18" s="108">
        <v>3338015.307</v>
      </c>
      <c r="F18" s="108">
        <v>373971.247</v>
      </c>
      <c r="G18" s="109">
        <v>57</v>
      </c>
      <c r="H18" s="109">
        <v>25</v>
      </c>
      <c r="I18" s="115">
        <v>34</v>
      </c>
      <c r="J18" s="116">
        <v>122.57</v>
      </c>
      <c r="K18" s="117">
        <v>51</v>
      </c>
      <c r="L18" s="117">
        <v>25</v>
      </c>
      <c r="M18" s="117">
        <v>36</v>
      </c>
    </row>
    <row r="19" spans="1:13">
      <c r="A19" s="27">
        <v>16</v>
      </c>
      <c r="B19" s="108">
        <v>3338019.206</v>
      </c>
      <c r="C19" s="108">
        <v>373984.188</v>
      </c>
      <c r="D19" s="27">
        <v>125.1</v>
      </c>
      <c r="E19" s="108">
        <v>3338019.206</v>
      </c>
      <c r="F19" s="108">
        <v>373984.188</v>
      </c>
      <c r="G19" s="109">
        <v>92</v>
      </c>
      <c r="H19" s="109">
        <v>17</v>
      </c>
      <c r="I19" s="115">
        <v>15</v>
      </c>
      <c r="J19" s="116">
        <v>126.66</v>
      </c>
      <c r="K19" s="117">
        <v>73</v>
      </c>
      <c r="L19" s="117">
        <v>17</v>
      </c>
      <c r="M19" s="117">
        <v>14</v>
      </c>
    </row>
    <row r="20" spans="1:13">
      <c r="A20" s="27">
        <v>17</v>
      </c>
      <c r="B20" s="108">
        <v>3338019.905</v>
      </c>
      <c r="C20" s="108">
        <v>374002.168</v>
      </c>
      <c r="D20" s="27">
        <v>129.8</v>
      </c>
      <c r="E20" s="108">
        <v>3338019.905</v>
      </c>
      <c r="F20" s="108">
        <v>374002.168</v>
      </c>
      <c r="G20" s="109">
        <v>92</v>
      </c>
      <c r="H20" s="109">
        <v>3</v>
      </c>
      <c r="I20" s="115">
        <v>20</v>
      </c>
      <c r="J20" s="116">
        <v>129.91</v>
      </c>
      <c r="K20" s="117">
        <v>88</v>
      </c>
      <c r="L20" s="117">
        <v>3</v>
      </c>
      <c r="M20" s="117">
        <v>18</v>
      </c>
    </row>
    <row r="21" spans="1:13">
      <c r="A21" s="27">
        <v>18</v>
      </c>
      <c r="B21" s="108">
        <v>3338021.039</v>
      </c>
      <c r="C21" s="108">
        <v>374027.363</v>
      </c>
      <c r="D21" s="27">
        <v>132.3</v>
      </c>
      <c r="E21" s="108">
        <v>3338021.039</v>
      </c>
      <c r="F21" s="108">
        <v>374027.363</v>
      </c>
      <c r="G21" s="109">
        <v>83</v>
      </c>
      <c r="H21" s="109">
        <v>10</v>
      </c>
      <c r="I21" s="115">
        <v>25</v>
      </c>
      <c r="J21" s="116">
        <v>137.16</v>
      </c>
      <c r="K21" s="117">
        <v>87</v>
      </c>
      <c r="L21" s="117">
        <v>10</v>
      </c>
      <c r="M21" s="117">
        <v>25</v>
      </c>
    </row>
    <row r="22" spans="1:13">
      <c r="A22" s="27">
        <v>19</v>
      </c>
      <c r="B22" s="108">
        <v>3338024.7</v>
      </c>
      <c r="C22" s="108">
        <v>374063.28</v>
      </c>
      <c r="D22" s="109"/>
      <c r="E22" s="108">
        <v>3338024.704</v>
      </c>
      <c r="F22" s="108">
        <v>374063.285</v>
      </c>
      <c r="G22" s="109"/>
      <c r="H22" s="109"/>
      <c r="I22" s="115"/>
      <c r="J22" s="116">
        <v>160.14</v>
      </c>
      <c r="K22" s="117">
        <v>84</v>
      </c>
      <c r="L22" s="116"/>
      <c r="M22" s="116"/>
    </row>
    <row r="25" spans="6:7">
      <c r="F25" t="s">
        <v>53</v>
      </c>
      <c r="G25" t="s">
        <v>54</v>
      </c>
    </row>
  </sheetData>
  <mergeCells count="1">
    <mergeCell ref="K1:M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8"/>
  <sheetViews>
    <sheetView tabSelected="1" zoomScale="70" zoomScaleNormal="70" workbookViewId="0">
      <pane ySplit="3" topLeftCell="A4" activePane="bottomLeft" state="frozen"/>
      <selection/>
      <selection pane="bottomLeft" activeCell="Q57" sqref="Q57"/>
    </sheetView>
  </sheetViews>
  <sheetFormatPr defaultColWidth="9" defaultRowHeight="15.75"/>
  <cols>
    <col min="1" max="1" width="6.75" style="34" customWidth="1"/>
    <col min="2" max="2" width="10" style="34" customWidth="1"/>
    <col min="3" max="3" width="17.875" style="34" customWidth="1"/>
    <col min="4" max="4" width="7.625" style="34" customWidth="1"/>
    <col min="5" max="5" width="12.875" style="34" customWidth="1"/>
    <col min="6" max="6" width="12.1416666666667" style="34" customWidth="1"/>
    <col min="7" max="7" width="10.25" style="34" customWidth="1"/>
    <col min="8" max="8" width="10.125" style="34" customWidth="1"/>
    <col min="9" max="9" width="8.575" style="34" customWidth="1"/>
    <col min="10" max="10" width="8.56666666666667" style="34" customWidth="1"/>
    <col min="11" max="12" width="9.875" style="34" customWidth="1"/>
    <col min="13" max="13" width="12.875" style="34" customWidth="1"/>
    <col min="14" max="14" width="8.125" style="34" customWidth="1"/>
    <col min="15" max="15" width="8.38333333333333" style="34" customWidth="1"/>
    <col min="16" max="16" width="8.39166666666667" style="34" customWidth="1"/>
    <col min="17" max="17" width="21.625" style="34" customWidth="1"/>
    <col min="18" max="18" width="14.625" style="34" customWidth="1"/>
    <col min="19" max="19" width="11.875" style="34" customWidth="1"/>
    <col min="20" max="20" width="10.75" style="34" customWidth="1"/>
    <col min="21" max="21" width="12.625" style="34" customWidth="1"/>
    <col min="22" max="22" width="3.5" style="34" customWidth="1"/>
    <col min="23" max="23" width="6.875" style="34" customWidth="1"/>
    <col min="24" max="24" width="12.4916666666667" style="34" customWidth="1"/>
    <col min="25" max="25" width="15.8916666666667" style="34" customWidth="1"/>
    <col min="26" max="16384" width="9" style="34"/>
  </cols>
  <sheetData>
    <row r="1" ht="32.25" customHeight="1" spans="1:25">
      <c r="A1" s="36" t="s">
        <v>55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6">
      <c r="A2" s="38" t="s">
        <v>56</v>
      </c>
      <c r="B2" s="38" t="s">
        <v>44</v>
      </c>
      <c r="C2" s="38" t="s">
        <v>45</v>
      </c>
      <c r="D2" s="38" t="s">
        <v>57</v>
      </c>
      <c r="E2" s="38"/>
      <c r="F2" s="38" t="s">
        <v>58</v>
      </c>
      <c r="G2" s="38" t="s">
        <v>59</v>
      </c>
      <c r="H2" s="38" t="s">
        <v>60</v>
      </c>
      <c r="I2" s="38" t="s">
        <v>61</v>
      </c>
      <c r="J2" s="38"/>
      <c r="K2" s="38" t="s">
        <v>62</v>
      </c>
      <c r="L2" s="38" t="s">
        <v>63</v>
      </c>
      <c r="M2" s="38"/>
      <c r="N2" s="38" t="s">
        <v>64</v>
      </c>
      <c r="O2" s="38"/>
      <c r="P2" s="38" t="s">
        <v>65</v>
      </c>
      <c r="Q2" s="38"/>
      <c r="R2" s="38"/>
      <c r="S2" s="38"/>
      <c r="T2" s="38" t="s">
        <v>66</v>
      </c>
      <c r="U2" s="38"/>
      <c r="V2" s="38"/>
      <c r="W2" s="38"/>
      <c r="X2" s="38"/>
      <c r="Y2" s="38" t="s">
        <v>67</v>
      </c>
      <c r="Z2" s="102"/>
    </row>
    <row r="3" spans="1:26">
      <c r="A3" s="38">
        <v>0</v>
      </c>
      <c r="B3" s="39">
        <v>373114.538</v>
      </c>
      <c r="C3" s="40">
        <v>3337660.534</v>
      </c>
      <c r="D3" s="38"/>
      <c r="E3" s="38"/>
      <c r="F3" s="38"/>
      <c r="G3" s="38"/>
      <c r="H3" s="38"/>
      <c r="I3" s="38"/>
      <c r="J3" s="38"/>
      <c r="K3" s="66">
        <v>93.5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102"/>
    </row>
    <row r="4" spans="1:26">
      <c r="A4" s="38">
        <v>19</v>
      </c>
      <c r="B4" s="39">
        <v>374063.285</v>
      </c>
      <c r="C4" s="40">
        <v>3338024.704</v>
      </c>
      <c r="D4" s="38"/>
      <c r="E4" s="38"/>
      <c r="F4" s="38"/>
      <c r="G4" s="38">
        <f t="shared" ref="G4:G25" si="0">B4-B3</f>
        <v>948.746999999974</v>
      </c>
      <c r="H4" s="38">
        <f t="shared" ref="H4:H25" si="1">C4-C3</f>
        <v>364.169999999925</v>
      </c>
      <c r="I4" s="54">
        <f>SQRT(POWER(G4,2)+POWER(H4,2))</f>
        <v>1016.2384852528</v>
      </c>
      <c r="J4" s="54"/>
      <c r="K4" s="66">
        <v>160.5</v>
      </c>
      <c r="L4" s="38">
        <f t="shared" ref="L4:L25" si="2">K4-K3</f>
        <v>67</v>
      </c>
      <c r="M4" s="38"/>
      <c r="N4" s="38"/>
      <c r="O4" s="38"/>
      <c r="P4" s="67"/>
      <c r="Q4" s="67"/>
      <c r="R4" s="38"/>
      <c r="S4" s="38"/>
      <c r="T4" s="45">
        <f>DEGREES(ATAN(G4/H4))</f>
        <v>69.0010449013592</v>
      </c>
      <c r="U4" s="38"/>
      <c r="V4" s="38"/>
      <c r="W4" s="38"/>
      <c r="X4" s="38"/>
      <c r="Y4" s="38"/>
      <c r="Z4" s="102"/>
    </row>
    <row r="5" s="34" customFormat="1" ht="24.75" spans="1:26">
      <c r="A5" s="38"/>
      <c r="B5" s="38"/>
      <c r="C5" s="38"/>
      <c r="D5" s="38"/>
      <c r="E5" s="41" t="s">
        <v>68</v>
      </c>
      <c r="F5" s="41" t="s">
        <v>69</v>
      </c>
      <c r="G5" s="38" t="s">
        <v>70</v>
      </c>
      <c r="H5" s="38" t="s">
        <v>71</v>
      </c>
      <c r="I5" s="41" t="s">
        <v>72</v>
      </c>
      <c r="J5" s="51" t="s">
        <v>73</v>
      </c>
      <c r="K5" s="38" t="s">
        <v>74</v>
      </c>
      <c r="L5" s="38" t="s">
        <v>75</v>
      </c>
      <c r="M5" s="41" t="s">
        <v>76</v>
      </c>
      <c r="N5" s="51" t="s">
        <v>77</v>
      </c>
      <c r="O5" s="68" t="s">
        <v>78</v>
      </c>
      <c r="P5" s="69" t="s">
        <v>79</v>
      </c>
      <c r="Q5" s="85" t="s">
        <v>80</v>
      </c>
      <c r="R5" s="86" t="s">
        <v>81</v>
      </c>
      <c r="S5" s="38"/>
      <c r="T5" s="38"/>
      <c r="U5" s="38"/>
      <c r="V5" s="38" t="s">
        <v>82</v>
      </c>
      <c r="W5" s="38" t="s">
        <v>83</v>
      </c>
      <c r="X5" s="51" t="s">
        <v>84</v>
      </c>
      <c r="Y5" s="51" t="s">
        <v>85</v>
      </c>
      <c r="Z5" s="102"/>
    </row>
    <row r="6" spans="1:26">
      <c r="A6" s="42">
        <v>0</v>
      </c>
      <c r="B6" s="39">
        <v>373114.538</v>
      </c>
      <c r="C6" s="40">
        <v>3337660.534</v>
      </c>
      <c r="D6" s="43"/>
      <c r="E6" s="38"/>
      <c r="F6" s="38"/>
      <c r="G6" s="38"/>
      <c r="H6" s="38"/>
      <c r="I6" s="43"/>
      <c r="J6" s="43"/>
      <c r="K6" s="66">
        <v>91.06</v>
      </c>
      <c r="L6" s="38"/>
      <c r="M6" s="38"/>
      <c r="N6" s="38"/>
      <c r="O6" s="70" t="s">
        <v>86</v>
      </c>
      <c r="P6" s="71"/>
      <c r="Q6" s="87" t="s">
        <v>86</v>
      </c>
      <c r="R6" s="88" t="s">
        <v>87</v>
      </c>
      <c r="S6" s="38" t="s">
        <v>88</v>
      </c>
      <c r="T6" s="38" t="s">
        <v>89</v>
      </c>
      <c r="U6" s="38"/>
      <c r="V6" s="38" t="s">
        <v>90</v>
      </c>
      <c r="W6" s="38" t="s">
        <v>90</v>
      </c>
      <c r="X6" s="38"/>
      <c r="Y6" s="38"/>
      <c r="Z6" s="102"/>
    </row>
    <row r="7" spans="1:26">
      <c r="A7" s="42">
        <v>1</v>
      </c>
      <c r="B7" s="39">
        <v>373188.635</v>
      </c>
      <c r="C7" s="40">
        <v>3337724.388</v>
      </c>
      <c r="D7" s="43"/>
      <c r="E7" s="44">
        <f>ROUND(DEGREES(ATAN(G7/H7)),0)</f>
        <v>49</v>
      </c>
      <c r="F7" s="45">
        <f>ROUND(I7/R7,0)</f>
        <v>99</v>
      </c>
      <c r="G7" s="38">
        <f t="shared" si="0"/>
        <v>74.0970000000088</v>
      </c>
      <c r="H7" s="46">
        <f>C7-C6</f>
        <v>63.8539999998175</v>
      </c>
      <c r="I7" s="54">
        <f>ROUND(SQRT(POWER(G7,2)+POWER(H7,2)),2)</f>
        <v>97.81</v>
      </c>
      <c r="J7" s="54">
        <f>I7</f>
        <v>97.81</v>
      </c>
      <c r="K7" s="66">
        <v>79.41</v>
      </c>
      <c r="L7" s="54">
        <f>K7-K6</f>
        <v>-11.65</v>
      </c>
      <c r="M7" s="54">
        <f t="shared" ref="M7:M25" si="3">ROUND(F7*SIN(RADIANS(Q7)),2)</f>
        <v>-12.07</v>
      </c>
      <c r="N7" s="54">
        <f>SUM(L$7:L7)</f>
        <v>-11.65</v>
      </c>
      <c r="O7" s="72">
        <f>ROUND(SUM(M$7:M7),2)</f>
        <v>-12.07</v>
      </c>
      <c r="P7" s="73">
        <f t="shared" ref="P7:P25" si="4">DEGREES(ATAN(L7/I7))</f>
        <v>-6.7924126485101</v>
      </c>
      <c r="Q7" s="89">
        <f>ROUND(P7,0)</f>
        <v>-7</v>
      </c>
      <c r="R7" s="90">
        <f t="shared" ref="R7:R25" si="5">ROUND(COS(RADIANS(Q7)),4)</f>
        <v>0.9925</v>
      </c>
      <c r="S7" s="38">
        <f t="shared" ref="S7:S25" si="6">ROUND(I7/(COS(RADIANS(P7))),0)</f>
        <v>99</v>
      </c>
      <c r="T7" s="45">
        <f>ROUND(T4,0)</f>
        <v>69</v>
      </c>
      <c r="U7" s="38"/>
      <c r="V7" s="45">
        <f t="shared" ref="V7:V25" si="7">-T7+E7</f>
        <v>-20</v>
      </c>
      <c r="W7" s="55">
        <f t="shared" ref="W7:W25" si="8">ROUND(COS(RADIANS(V7)),4)</f>
        <v>0.9397</v>
      </c>
      <c r="X7" s="54">
        <f t="shared" ref="X7:X25" si="9">I7*W7</f>
        <v>91.912057</v>
      </c>
      <c r="Y7" s="54">
        <f>X7</f>
        <v>91.912057</v>
      </c>
      <c r="Z7" s="102"/>
    </row>
    <row r="8" spans="1:26">
      <c r="A8" s="42">
        <v>2</v>
      </c>
      <c r="B8" s="39">
        <v>373244.122</v>
      </c>
      <c r="C8" s="40">
        <v>3337753.846</v>
      </c>
      <c r="D8" s="43"/>
      <c r="E8" s="44">
        <f t="shared" ref="E8:E25" si="10">ROUND(DEGREES(ATAN(G8/H8)),0)</f>
        <v>62</v>
      </c>
      <c r="F8" s="45">
        <f t="shared" ref="F7:F25" si="11">ROUND(I8/R8,0)</f>
        <v>63</v>
      </c>
      <c r="G8" s="38">
        <f t="shared" si="0"/>
        <v>55.4869999999646</v>
      </c>
      <c r="H8" s="38">
        <f t="shared" si="1"/>
        <v>29.4580000001006</v>
      </c>
      <c r="I8" s="54">
        <f t="shared" ref="I7:I25" si="12">ROUND(SQRT(POWER(G8,2)+POWER(H8,2)),2)</f>
        <v>62.82</v>
      </c>
      <c r="J8" s="54">
        <f t="shared" ref="J8:J25" si="13">I8+J7</f>
        <v>160.63</v>
      </c>
      <c r="K8" s="66">
        <v>77.01</v>
      </c>
      <c r="L8" s="54">
        <f t="shared" si="2"/>
        <v>-2.39999999999999</v>
      </c>
      <c r="M8" s="54">
        <f t="shared" si="3"/>
        <v>-2.2</v>
      </c>
      <c r="N8" s="54">
        <f>SUM(L$7:L8)</f>
        <v>-14.05</v>
      </c>
      <c r="O8" s="72">
        <f>ROUND(SUM(M$7:M8),2)</f>
        <v>-14.27</v>
      </c>
      <c r="P8" s="73">
        <f t="shared" si="4"/>
        <v>-2.1878864587441</v>
      </c>
      <c r="Q8" s="89">
        <f t="shared" ref="Q7:Q25" si="14">ROUND(P8,0)</f>
        <v>-2</v>
      </c>
      <c r="R8" s="90">
        <f t="shared" si="5"/>
        <v>0.9994</v>
      </c>
      <c r="S8" s="38">
        <f t="shared" si="6"/>
        <v>63</v>
      </c>
      <c r="T8" s="45">
        <f t="shared" ref="T8:T25" si="15">T7</f>
        <v>69</v>
      </c>
      <c r="U8" s="38"/>
      <c r="V8" s="45">
        <f t="shared" si="7"/>
        <v>-7</v>
      </c>
      <c r="W8" s="55">
        <f t="shared" si="8"/>
        <v>0.9925</v>
      </c>
      <c r="X8" s="54">
        <f t="shared" si="9"/>
        <v>62.34885</v>
      </c>
      <c r="Y8" s="54">
        <f t="shared" ref="Y8:Y25" si="16">Y7+X8</f>
        <v>154.260907</v>
      </c>
      <c r="Z8" s="102"/>
    </row>
    <row r="9" spans="1:26">
      <c r="A9" s="42">
        <v>3</v>
      </c>
      <c r="B9" s="39">
        <v>373306.719</v>
      </c>
      <c r="C9" s="40">
        <v>3337776.828</v>
      </c>
      <c r="D9" s="43"/>
      <c r="E9" s="44">
        <f t="shared" si="10"/>
        <v>70</v>
      </c>
      <c r="F9" s="45">
        <f t="shared" si="11"/>
        <v>67</v>
      </c>
      <c r="G9" s="38">
        <f t="shared" si="0"/>
        <v>62.5970000000088</v>
      </c>
      <c r="H9" s="38">
        <f t="shared" si="1"/>
        <v>22.9820000003092</v>
      </c>
      <c r="I9" s="54">
        <f t="shared" si="12"/>
        <v>66.68</v>
      </c>
      <c r="J9" s="54">
        <f t="shared" si="13"/>
        <v>227.31</v>
      </c>
      <c r="K9" s="66">
        <v>77.2</v>
      </c>
      <c r="L9" s="54">
        <f t="shared" si="2"/>
        <v>0.189999999999998</v>
      </c>
      <c r="M9" s="54">
        <f t="shared" si="3"/>
        <v>0</v>
      </c>
      <c r="N9" s="54">
        <f>SUM(L$7:L9)</f>
        <v>-13.86</v>
      </c>
      <c r="O9" s="72">
        <f>ROUND(SUM(M$7:M9),2)</f>
        <v>-14.27</v>
      </c>
      <c r="P9" s="73">
        <f t="shared" si="4"/>
        <v>0.163259877699968</v>
      </c>
      <c r="Q9" s="89">
        <f t="shared" si="14"/>
        <v>0</v>
      </c>
      <c r="R9" s="90">
        <f t="shared" si="5"/>
        <v>1</v>
      </c>
      <c r="S9" s="38">
        <f t="shared" si="6"/>
        <v>67</v>
      </c>
      <c r="T9" s="45">
        <f t="shared" si="15"/>
        <v>69</v>
      </c>
      <c r="U9" s="38"/>
      <c r="V9" s="45">
        <f t="shared" si="7"/>
        <v>1</v>
      </c>
      <c r="W9" s="55">
        <f t="shared" si="8"/>
        <v>0.9998</v>
      </c>
      <c r="X9" s="54">
        <f t="shared" si="9"/>
        <v>66.666664</v>
      </c>
      <c r="Y9" s="54">
        <f t="shared" si="16"/>
        <v>220.927571</v>
      </c>
      <c r="Z9" s="102"/>
    </row>
    <row r="10" spans="1:26">
      <c r="A10" s="42">
        <v>4</v>
      </c>
      <c r="B10" s="39">
        <v>373333.289</v>
      </c>
      <c r="C10" s="40">
        <v>3337802.372</v>
      </c>
      <c r="D10" s="43"/>
      <c r="E10" s="44">
        <f t="shared" si="10"/>
        <v>46</v>
      </c>
      <c r="F10" s="45">
        <f t="shared" si="11"/>
        <v>37</v>
      </c>
      <c r="G10" s="38">
        <f t="shared" si="0"/>
        <v>26.570000000007</v>
      </c>
      <c r="H10" s="38">
        <f t="shared" si="1"/>
        <v>25.5439999997616</v>
      </c>
      <c r="I10" s="54">
        <f t="shared" si="12"/>
        <v>36.86</v>
      </c>
      <c r="J10" s="54">
        <f t="shared" si="13"/>
        <v>264.17</v>
      </c>
      <c r="K10" s="66">
        <v>78.46</v>
      </c>
      <c r="L10" s="54">
        <f t="shared" si="2"/>
        <v>1.25999999999999</v>
      </c>
      <c r="M10" s="54">
        <f t="shared" si="3"/>
        <v>1.29</v>
      </c>
      <c r="N10" s="54">
        <f>SUM(L$7:L10)</f>
        <v>-12.6</v>
      </c>
      <c r="O10" s="72">
        <f>ROUND(SUM(M$7:M10),2)</f>
        <v>-12.98</v>
      </c>
      <c r="P10" s="73">
        <f t="shared" si="4"/>
        <v>1.95780202723613</v>
      </c>
      <c r="Q10" s="89">
        <f t="shared" si="14"/>
        <v>2</v>
      </c>
      <c r="R10" s="90">
        <f t="shared" si="5"/>
        <v>0.9994</v>
      </c>
      <c r="S10" s="38">
        <f t="shared" si="6"/>
        <v>37</v>
      </c>
      <c r="T10" s="45">
        <f t="shared" si="15"/>
        <v>69</v>
      </c>
      <c r="U10" s="38"/>
      <c r="V10" s="45">
        <f t="shared" si="7"/>
        <v>-23</v>
      </c>
      <c r="W10" s="55">
        <f t="shared" si="8"/>
        <v>0.9205</v>
      </c>
      <c r="X10" s="54">
        <f t="shared" si="9"/>
        <v>33.92963</v>
      </c>
      <c r="Y10" s="54">
        <f t="shared" si="16"/>
        <v>254.857201</v>
      </c>
      <c r="Z10" s="102"/>
    </row>
    <row r="11" spans="1:26">
      <c r="A11" s="42">
        <v>5</v>
      </c>
      <c r="B11" s="39">
        <v>373382.841</v>
      </c>
      <c r="C11" s="40">
        <v>3337808.362</v>
      </c>
      <c r="D11" s="43"/>
      <c r="E11" s="47">
        <f t="shared" si="10"/>
        <v>83</v>
      </c>
      <c r="F11" s="45">
        <f t="shared" si="11"/>
        <v>50</v>
      </c>
      <c r="G11" s="38">
        <f t="shared" si="0"/>
        <v>49.5520000000251</v>
      </c>
      <c r="H11" s="38">
        <f t="shared" si="1"/>
        <v>5.99000000022352</v>
      </c>
      <c r="I11" s="54">
        <f t="shared" si="12"/>
        <v>49.91</v>
      </c>
      <c r="J11" s="54">
        <f t="shared" si="13"/>
        <v>314.08</v>
      </c>
      <c r="K11" s="66">
        <v>77.75</v>
      </c>
      <c r="L11" s="54">
        <f t="shared" si="2"/>
        <v>-0.709999999999994</v>
      </c>
      <c r="M11" s="54">
        <f t="shared" si="3"/>
        <v>-0.87</v>
      </c>
      <c r="N11" s="54">
        <f>SUM(L$7:L11)</f>
        <v>-13.31</v>
      </c>
      <c r="O11" s="72">
        <f>ROUND(SUM(M$7:M11),2)</f>
        <v>-13.85</v>
      </c>
      <c r="P11" s="73">
        <f t="shared" si="4"/>
        <v>-0.815012215566011</v>
      </c>
      <c r="Q11" s="89">
        <f t="shared" si="14"/>
        <v>-1</v>
      </c>
      <c r="R11" s="90">
        <f t="shared" si="5"/>
        <v>0.9998</v>
      </c>
      <c r="S11" s="38">
        <f t="shared" si="6"/>
        <v>50</v>
      </c>
      <c r="T11" s="45">
        <f t="shared" si="15"/>
        <v>69</v>
      </c>
      <c r="U11" s="38"/>
      <c r="V11" s="45">
        <f t="shared" si="7"/>
        <v>14</v>
      </c>
      <c r="W11" s="55">
        <f t="shared" si="8"/>
        <v>0.9703</v>
      </c>
      <c r="X11" s="54">
        <f t="shared" si="9"/>
        <v>48.427673</v>
      </c>
      <c r="Y11" s="54">
        <f t="shared" si="16"/>
        <v>303.284874</v>
      </c>
      <c r="Z11" s="102"/>
    </row>
    <row r="12" spans="1:26">
      <c r="A12" s="42">
        <v>6</v>
      </c>
      <c r="B12" s="39">
        <v>373424.675</v>
      </c>
      <c r="C12" s="40">
        <v>3337836.758</v>
      </c>
      <c r="D12" s="43"/>
      <c r="E12" s="44">
        <f t="shared" si="10"/>
        <v>56</v>
      </c>
      <c r="F12" s="45">
        <f t="shared" si="11"/>
        <v>51</v>
      </c>
      <c r="G12" s="38">
        <f t="shared" si="0"/>
        <v>41.8339999999735</v>
      </c>
      <c r="H12" s="38">
        <f t="shared" si="1"/>
        <v>28.3959999997169</v>
      </c>
      <c r="I12" s="54">
        <f t="shared" si="12"/>
        <v>50.56</v>
      </c>
      <c r="J12" s="54">
        <f t="shared" si="13"/>
        <v>364.64</v>
      </c>
      <c r="K12" s="66">
        <v>83.66</v>
      </c>
      <c r="L12" s="54">
        <f t="shared" si="2"/>
        <v>5.91</v>
      </c>
      <c r="M12" s="54">
        <f t="shared" si="3"/>
        <v>6.22</v>
      </c>
      <c r="N12" s="54">
        <f>SUM(L$7:L12)</f>
        <v>-7.4</v>
      </c>
      <c r="O12" s="72">
        <f>ROUND(SUM(M$7:M12),2)</f>
        <v>-7.63</v>
      </c>
      <c r="P12" s="73">
        <f t="shared" si="4"/>
        <v>6.66709545561507</v>
      </c>
      <c r="Q12" s="89">
        <f t="shared" si="14"/>
        <v>7</v>
      </c>
      <c r="R12" s="90">
        <f t="shared" si="5"/>
        <v>0.9925</v>
      </c>
      <c r="S12" s="38">
        <f t="shared" si="6"/>
        <v>51</v>
      </c>
      <c r="T12" s="45">
        <f t="shared" si="15"/>
        <v>69</v>
      </c>
      <c r="U12" s="38"/>
      <c r="V12" s="45">
        <f t="shared" si="7"/>
        <v>-13</v>
      </c>
      <c r="W12" s="55">
        <f t="shared" si="8"/>
        <v>0.9744</v>
      </c>
      <c r="X12" s="54">
        <f t="shared" si="9"/>
        <v>49.265664</v>
      </c>
      <c r="Y12" s="54">
        <f t="shared" si="16"/>
        <v>352.550538</v>
      </c>
      <c r="Z12" s="102"/>
    </row>
    <row r="13" spans="1:26">
      <c r="A13" s="42">
        <v>7</v>
      </c>
      <c r="B13" s="39">
        <v>373492.305</v>
      </c>
      <c r="C13" s="40">
        <v>3337854.005</v>
      </c>
      <c r="D13" s="43"/>
      <c r="E13" s="44">
        <f t="shared" si="10"/>
        <v>76</v>
      </c>
      <c r="F13" s="45">
        <f t="shared" si="11"/>
        <v>70</v>
      </c>
      <c r="G13" s="38">
        <f t="shared" si="0"/>
        <v>67.6300000000047</v>
      </c>
      <c r="H13" s="38">
        <f t="shared" si="1"/>
        <v>17.2469999999739</v>
      </c>
      <c r="I13" s="54">
        <f t="shared" si="12"/>
        <v>69.79</v>
      </c>
      <c r="J13" s="54">
        <f t="shared" si="13"/>
        <v>434.43</v>
      </c>
      <c r="K13" s="66">
        <v>91.57</v>
      </c>
      <c r="L13" s="54">
        <f t="shared" si="2"/>
        <v>7.91</v>
      </c>
      <c r="M13" s="54">
        <f t="shared" si="3"/>
        <v>7.32</v>
      </c>
      <c r="N13" s="54">
        <f>SUM(L$7:L13)</f>
        <v>0.509999999999996</v>
      </c>
      <c r="O13" s="72">
        <f>ROUND(SUM(M$7:M13),2)</f>
        <v>-0.31</v>
      </c>
      <c r="P13" s="73">
        <f t="shared" si="4"/>
        <v>6.46631036130997</v>
      </c>
      <c r="Q13" s="89">
        <f t="shared" si="14"/>
        <v>6</v>
      </c>
      <c r="R13" s="90">
        <f t="shared" si="5"/>
        <v>0.9945</v>
      </c>
      <c r="S13" s="38">
        <f t="shared" si="6"/>
        <v>70</v>
      </c>
      <c r="T13" s="45">
        <f t="shared" si="15"/>
        <v>69</v>
      </c>
      <c r="U13" s="38"/>
      <c r="V13" s="45">
        <f t="shared" si="7"/>
        <v>7</v>
      </c>
      <c r="W13" s="55">
        <f t="shared" si="8"/>
        <v>0.9925</v>
      </c>
      <c r="X13" s="54">
        <f t="shared" si="9"/>
        <v>69.266575</v>
      </c>
      <c r="Y13" s="54">
        <f t="shared" si="16"/>
        <v>421.817113</v>
      </c>
      <c r="Z13" s="102"/>
    </row>
    <row r="14" spans="1:26">
      <c r="A14" s="42">
        <v>8</v>
      </c>
      <c r="B14" s="39">
        <v>373515.119</v>
      </c>
      <c r="C14" s="40">
        <v>3337874.274</v>
      </c>
      <c r="D14" s="43"/>
      <c r="E14" s="44">
        <f t="shared" si="10"/>
        <v>48</v>
      </c>
      <c r="F14" s="45">
        <f t="shared" si="11"/>
        <v>31</v>
      </c>
      <c r="G14" s="38">
        <f t="shared" si="0"/>
        <v>22.814000000013</v>
      </c>
      <c r="H14" s="38">
        <f t="shared" si="1"/>
        <v>20.2690000003204</v>
      </c>
      <c r="I14" s="54">
        <f t="shared" si="12"/>
        <v>30.52</v>
      </c>
      <c r="J14" s="54">
        <f t="shared" si="13"/>
        <v>464.95</v>
      </c>
      <c r="K14" s="66">
        <v>92.94</v>
      </c>
      <c r="L14" s="54">
        <f t="shared" si="2"/>
        <v>1.37</v>
      </c>
      <c r="M14" s="54">
        <f t="shared" si="3"/>
        <v>1.62</v>
      </c>
      <c r="N14" s="54">
        <f>SUM(L$7:L14)</f>
        <v>1.88</v>
      </c>
      <c r="O14" s="72">
        <f>ROUND(SUM(M$7:M14),2)</f>
        <v>1.31</v>
      </c>
      <c r="P14" s="73">
        <f t="shared" si="4"/>
        <v>2.57020181264252</v>
      </c>
      <c r="Q14" s="89">
        <f t="shared" si="14"/>
        <v>3</v>
      </c>
      <c r="R14" s="90">
        <f t="shared" si="5"/>
        <v>0.9986</v>
      </c>
      <c r="S14" s="38">
        <f t="shared" si="6"/>
        <v>31</v>
      </c>
      <c r="T14" s="45">
        <f t="shared" si="15"/>
        <v>69</v>
      </c>
      <c r="U14" s="38"/>
      <c r="V14" s="45">
        <f t="shared" si="7"/>
        <v>-21</v>
      </c>
      <c r="W14" s="55">
        <f t="shared" si="8"/>
        <v>0.9336</v>
      </c>
      <c r="X14" s="54">
        <f t="shared" si="9"/>
        <v>28.493472</v>
      </c>
      <c r="Y14" s="54">
        <f t="shared" si="16"/>
        <v>450.310585</v>
      </c>
      <c r="Z14" s="102"/>
    </row>
    <row r="15" spans="1:26">
      <c r="A15" s="42">
        <v>9</v>
      </c>
      <c r="B15" s="39">
        <v>373612.318</v>
      </c>
      <c r="C15" s="40">
        <v>3337899.472</v>
      </c>
      <c r="D15" s="43"/>
      <c r="E15" s="44">
        <f t="shared" si="10"/>
        <v>75</v>
      </c>
      <c r="F15" s="45">
        <f t="shared" si="11"/>
        <v>100</v>
      </c>
      <c r="G15" s="38">
        <f t="shared" si="0"/>
        <v>97.1990000000224</v>
      </c>
      <c r="H15" s="38">
        <f t="shared" si="1"/>
        <v>25.1979999998584</v>
      </c>
      <c r="I15" s="54">
        <f t="shared" si="12"/>
        <v>100.41</v>
      </c>
      <c r="J15" s="54">
        <f t="shared" si="13"/>
        <v>565.36</v>
      </c>
      <c r="K15" s="66">
        <v>90</v>
      </c>
      <c r="L15" s="54">
        <f t="shared" si="2"/>
        <v>-2.94</v>
      </c>
      <c r="M15" s="54">
        <f t="shared" si="3"/>
        <v>-3.49</v>
      </c>
      <c r="N15" s="54">
        <f>SUM(L$7:L15)</f>
        <v>-1.06</v>
      </c>
      <c r="O15" s="72">
        <f>ROUND(SUM(M$7:M15),2)</f>
        <v>-2.18</v>
      </c>
      <c r="P15" s="73">
        <f t="shared" si="4"/>
        <v>-1.67713851569316</v>
      </c>
      <c r="Q15" s="89">
        <f t="shared" si="14"/>
        <v>-2</v>
      </c>
      <c r="R15" s="90">
        <f t="shared" si="5"/>
        <v>0.9994</v>
      </c>
      <c r="S15" s="38">
        <f t="shared" si="6"/>
        <v>100</v>
      </c>
      <c r="T15" s="45">
        <f t="shared" si="15"/>
        <v>69</v>
      </c>
      <c r="U15" s="38"/>
      <c r="V15" s="45">
        <f t="shared" si="7"/>
        <v>6</v>
      </c>
      <c r="W15" s="55">
        <f t="shared" si="8"/>
        <v>0.9945</v>
      </c>
      <c r="X15" s="54">
        <f t="shared" si="9"/>
        <v>99.857745</v>
      </c>
      <c r="Y15" s="54">
        <f t="shared" si="16"/>
        <v>550.16833</v>
      </c>
      <c r="Z15" s="102"/>
    </row>
    <row r="16" spans="1:26">
      <c r="A16" s="42">
        <v>10</v>
      </c>
      <c r="B16" s="39">
        <v>373704.907</v>
      </c>
      <c r="C16" s="40">
        <v>3337917.283</v>
      </c>
      <c r="D16" s="43"/>
      <c r="E16" s="44">
        <f t="shared" si="10"/>
        <v>79</v>
      </c>
      <c r="F16" s="45">
        <f t="shared" si="11"/>
        <v>94</v>
      </c>
      <c r="G16" s="38">
        <f t="shared" si="0"/>
        <v>92.5889999999781</v>
      </c>
      <c r="H16" s="38">
        <f t="shared" si="1"/>
        <v>17.8109999997541</v>
      </c>
      <c r="I16" s="54">
        <f t="shared" si="12"/>
        <v>94.29</v>
      </c>
      <c r="J16" s="54">
        <f t="shared" si="13"/>
        <v>659.65</v>
      </c>
      <c r="K16" s="66">
        <v>92.03</v>
      </c>
      <c r="L16" s="54">
        <f t="shared" si="2"/>
        <v>2.03</v>
      </c>
      <c r="M16" s="54">
        <f t="shared" si="3"/>
        <v>1.64</v>
      </c>
      <c r="N16" s="54">
        <f>SUM(L$7:L16)</f>
        <v>0.970000000000004</v>
      </c>
      <c r="O16" s="72">
        <f>ROUND(SUM(M$7:M16),2)</f>
        <v>-0.54</v>
      </c>
      <c r="P16" s="73">
        <f t="shared" si="4"/>
        <v>1.23334889158887</v>
      </c>
      <c r="Q16" s="89">
        <f t="shared" si="14"/>
        <v>1</v>
      </c>
      <c r="R16" s="90">
        <f t="shared" si="5"/>
        <v>0.9998</v>
      </c>
      <c r="S16" s="38">
        <f t="shared" si="6"/>
        <v>94</v>
      </c>
      <c r="T16" s="45">
        <f t="shared" si="15"/>
        <v>69</v>
      </c>
      <c r="U16" s="38"/>
      <c r="V16" s="45">
        <f t="shared" si="7"/>
        <v>10</v>
      </c>
      <c r="W16" s="55">
        <f t="shared" si="8"/>
        <v>0.9848</v>
      </c>
      <c r="X16" s="54">
        <f t="shared" si="9"/>
        <v>92.856792</v>
      </c>
      <c r="Y16" s="54">
        <f t="shared" si="16"/>
        <v>643.025122</v>
      </c>
      <c r="Z16" s="102"/>
    </row>
    <row r="17" spans="1:26">
      <c r="A17" s="42">
        <v>11</v>
      </c>
      <c r="B17" s="39">
        <v>373781.068</v>
      </c>
      <c r="C17" s="40">
        <v>3337972.453</v>
      </c>
      <c r="D17" s="43"/>
      <c r="E17" s="44">
        <f t="shared" si="10"/>
        <v>54</v>
      </c>
      <c r="F17" s="45">
        <f t="shared" si="11"/>
        <v>95</v>
      </c>
      <c r="G17" s="38">
        <f t="shared" si="0"/>
        <v>76.1610000000219</v>
      </c>
      <c r="H17" s="38">
        <f t="shared" si="1"/>
        <v>55.1700000003912</v>
      </c>
      <c r="I17" s="54">
        <f t="shared" si="12"/>
        <v>94.04</v>
      </c>
      <c r="J17" s="54">
        <f t="shared" si="13"/>
        <v>753.69</v>
      </c>
      <c r="K17" s="66">
        <v>78.22</v>
      </c>
      <c r="L17" s="54">
        <f t="shared" si="2"/>
        <v>-13.81</v>
      </c>
      <c r="M17" s="54">
        <f t="shared" si="3"/>
        <v>-13.22</v>
      </c>
      <c r="N17" s="54">
        <f>SUM(L$7:L17)</f>
        <v>-12.84</v>
      </c>
      <c r="O17" s="72">
        <f>ROUND(SUM(M$7:M17),2)</f>
        <v>-13.76</v>
      </c>
      <c r="P17" s="73">
        <f t="shared" si="4"/>
        <v>-8.35430912850416</v>
      </c>
      <c r="Q17" s="89">
        <f t="shared" si="14"/>
        <v>-8</v>
      </c>
      <c r="R17" s="90">
        <f t="shared" si="5"/>
        <v>0.9903</v>
      </c>
      <c r="S17" s="38">
        <f t="shared" si="6"/>
        <v>95</v>
      </c>
      <c r="T17" s="45">
        <f t="shared" si="15"/>
        <v>69</v>
      </c>
      <c r="U17" s="38"/>
      <c r="V17" s="45">
        <f t="shared" si="7"/>
        <v>-15</v>
      </c>
      <c r="W17" s="55">
        <f t="shared" si="8"/>
        <v>0.9659</v>
      </c>
      <c r="X17" s="54">
        <f t="shared" si="9"/>
        <v>90.833236</v>
      </c>
      <c r="Y17" s="54">
        <f t="shared" si="16"/>
        <v>733.858358</v>
      </c>
      <c r="Z17" s="102"/>
    </row>
    <row r="18" spans="1:26">
      <c r="A18" s="42">
        <v>12</v>
      </c>
      <c r="B18" s="39">
        <v>373864.769</v>
      </c>
      <c r="C18" s="40">
        <v>3337997.291</v>
      </c>
      <c r="D18" s="43"/>
      <c r="E18" s="44">
        <f t="shared" si="10"/>
        <v>73</v>
      </c>
      <c r="F18" s="45">
        <f t="shared" si="11"/>
        <v>87</v>
      </c>
      <c r="G18" s="38">
        <f t="shared" si="0"/>
        <v>83.7009999999427</v>
      </c>
      <c r="H18" s="38">
        <f t="shared" si="1"/>
        <v>24.8379999999888</v>
      </c>
      <c r="I18" s="54">
        <f t="shared" si="12"/>
        <v>87.31</v>
      </c>
      <c r="J18" s="54">
        <f t="shared" si="13"/>
        <v>841</v>
      </c>
      <c r="K18" s="66">
        <v>79.33</v>
      </c>
      <c r="L18" s="54">
        <f t="shared" si="2"/>
        <v>1.11</v>
      </c>
      <c r="M18" s="54">
        <f t="shared" si="3"/>
        <v>1.52</v>
      </c>
      <c r="N18" s="54">
        <f>SUM(L$7:L18)</f>
        <v>-11.73</v>
      </c>
      <c r="O18" s="72">
        <f>ROUND(SUM(M$7:M18),2)</f>
        <v>-12.24</v>
      </c>
      <c r="P18" s="73">
        <f t="shared" si="4"/>
        <v>0.72838035915738</v>
      </c>
      <c r="Q18" s="89">
        <f t="shared" si="14"/>
        <v>1</v>
      </c>
      <c r="R18" s="90">
        <f t="shared" si="5"/>
        <v>0.9998</v>
      </c>
      <c r="S18" s="38">
        <f t="shared" si="6"/>
        <v>87</v>
      </c>
      <c r="T18" s="45">
        <f t="shared" si="15"/>
        <v>69</v>
      </c>
      <c r="U18" s="38"/>
      <c r="V18" s="45">
        <f t="shared" si="7"/>
        <v>4</v>
      </c>
      <c r="W18" s="55">
        <f t="shared" si="8"/>
        <v>0.9976</v>
      </c>
      <c r="X18" s="54">
        <f t="shared" si="9"/>
        <v>87.100456</v>
      </c>
      <c r="Y18" s="54">
        <f t="shared" si="16"/>
        <v>820.958814</v>
      </c>
      <c r="Z18" s="102"/>
    </row>
    <row r="19" spans="1:26">
      <c r="A19" s="42">
        <v>13</v>
      </c>
      <c r="B19" s="39">
        <v>373898.519</v>
      </c>
      <c r="C19" s="40">
        <v>3338004.887</v>
      </c>
      <c r="D19" s="43"/>
      <c r="E19" s="44">
        <f t="shared" si="10"/>
        <v>77</v>
      </c>
      <c r="F19" s="45">
        <f t="shared" si="11"/>
        <v>35</v>
      </c>
      <c r="G19" s="38">
        <f t="shared" si="0"/>
        <v>33.75</v>
      </c>
      <c r="H19" s="38">
        <f t="shared" si="1"/>
        <v>7.59599999990314</v>
      </c>
      <c r="I19" s="54">
        <f t="shared" si="12"/>
        <v>34.59</v>
      </c>
      <c r="J19" s="54">
        <f t="shared" si="13"/>
        <v>875.59</v>
      </c>
      <c r="K19" s="66">
        <v>86.43</v>
      </c>
      <c r="L19" s="54">
        <f t="shared" si="2"/>
        <v>7.10000000000001</v>
      </c>
      <c r="M19" s="54">
        <f t="shared" si="3"/>
        <v>7.28</v>
      </c>
      <c r="N19" s="54">
        <f>SUM(L$7:L19)</f>
        <v>-4.62999999999999</v>
      </c>
      <c r="O19" s="72">
        <f>ROUND(SUM(M$7:M19),2)</f>
        <v>-4.96</v>
      </c>
      <c r="P19" s="73">
        <f t="shared" si="4"/>
        <v>11.5995115654301</v>
      </c>
      <c r="Q19" s="89">
        <f t="shared" si="14"/>
        <v>12</v>
      </c>
      <c r="R19" s="90">
        <f t="shared" si="5"/>
        <v>0.9781</v>
      </c>
      <c r="S19" s="38">
        <f t="shared" si="6"/>
        <v>35</v>
      </c>
      <c r="T19" s="45">
        <f t="shared" si="15"/>
        <v>69</v>
      </c>
      <c r="U19" s="38"/>
      <c r="V19" s="45">
        <f t="shared" si="7"/>
        <v>8</v>
      </c>
      <c r="W19" s="55">
        <f t="shared" si="8"/>
        <v>0.9903</v>
      </c>
      <c r="X19" s="54">
        <f t="shared" si="9"/>
        <v>34.254477</v>
      </c>
      <c r="Y19" s="54">
        <f t="shared" si="16"/>
        <v>855.213291</v>
      </c>
      <c r="Z19" s="102"/>
    </row>
    <row r="20" spans="1:25">
      <c r="A20" s="42">
        <v>14</v>
      </c>
      <c r="B20" s="39">
        <v>373945.926</v>
      </c>
      <c r="C20" s="40">
        <v>3337994.788</v>
      </c>
      <c r="D20" s="43"/>
      <c r="E20" s="44">
        <f>ROUND(DEGREES(ATAN(G20/H20)),0)+180</f>
        <v>102</v>
      </c>
      <c r="F20" s="45">
        <f t="shared" si="11"/>
        <v>52</v>
      </c>
      <c r="G20" s="38">
        <f t="shared" si="0"/>
        <v>47.4070000000065</v>
      </c>
      <c r="H20" s="46">
        <f t="shared" si="1"/>
        <v>-10.0989999999292</v>
      </c>
      <c r="I20" s="54">
        <f t="shared" si="12"/>
        <v>48.47</v>
      </c>
      <c r="J20" s="54">
        <f t="shared" si="13"/>
        <v>924.06</v>
      </c>
      <c r="K20" s="66">
        <v>106.11</v>
      </c>
      <c r="L20" s="54">
        <f t="shared" si="2"/>
        <v>19.68</v>
      </c>
      <c r="M20" s="54">
        <f t="shared" si="3"/>
        <v>19.48</v>
      </c>
      <c r="N20" s="54">
        <f>SUM(L$7:L20)</f>
        <v>15.05</v>
      </c>
      <c r="O20" s="72">
        <f>ROUND(SUM(M$7:M20),2)</f>
        <v>14.52</v>
      </c>
      <c r="P20" s="73">
        <f t="shared" si="4"/>
        <v>22.0983499185221</v>
      </c>
      <c r="Q20" s="89">
        <f t="shared" si="14"/>
        <v>22</v>
      </c>
      <c r="R20" s="90">
        <f t="shared" si="5"/>
        <v>0.9272</v>
      </c>
      <c r="S20" s="38">
        <f t="shared" si="6"/>
        <v>52</v>
      </c>
      <c r="T20" s="45">
        <f t="shared" si="15"/>
        <v>69</v>
      </c>
      <c r="U20" s="38"/>
      <c r="V20" s="45">
        <f t="shared" si="7"/>
        <v>33</v>
      </c>
      <c r="W20" s="55">
        <f t="shared" si="8"/>
        <v>0.8387</v>
      </c>
      <c r="X20" s="54">
        <f t="shared" si="9"/>
        <v>40.651789</v>
      </c>
      <c r="Y20" s="54">
        <f t="shared" si="16"/>
        <v>895.86508</v>
      </c>
    </row>
    <row r="21" spans="1:25">
      <c r="A21" s="42">
        <v>15</v>
      </c>
      <c r="B21" s="39">
        <v>373971.247</v>
      </c>
      <c r="C21" s="40">
        <v>3338015.307</v>
      </c>
      <c r="D21" s="43"/>
      <c r="E21" s="44">
        <f t="shared" si="10"/>
        <v>51</v>
      </c>
      <c r="F21" s="45">
        <f t="shared" si="11"/>
        <v>37</v>
      </c>
      <c r="G21" s="38">
        <f t="shared" si="0"/>
        <v>25.3209999999963</v>
      </c>
      <c r="H21" s="38">
        <f t="shared" si="1"/>
        <v>20.5189999998547</v>
      </c>
      <c r="I21" s="54">
        <f t="shared" si="12"/>
        <v>32.59</v>
      </c>
      <c r="J21" s="54">
        <f t="shared" si="13"/>
        <v>956.65</v>
      </c>
      <c r="K21" s="66">
        <v>122.57</v>
      </c>
      <c r="L21" s="54">
        <f t="shared" si="2"/>
        <v>16.46</v>
      </c>
      <c r="M21" s="54">
        <f t="shared" si="3"/>
        <v>16.8</v>
      </c>
      <c r="N21" s="54">
        <f>SUM(L$7:L21)</f>
        <v>31.51</v>
      </c>
      <c r="O21" s="72">
        <f>ROUND(SUM(M$7:M21),2)</f>
        <v>31.32</v>
      </c>
      <c r="P21" s="73">
        <f t="shared" si="4"/>
        <v>26.796647260665</v>
      </c>
      <c r="Q21" s="89">
        <f t="shared" si="14"/>
        <v>27</v>
      </c>
      <c r="R21" s="90">
        <f t="shared" si="5"/>
        <v>0.891</v>
      </c>
      <c r="S21" s="38">
        <f t="shared" si="6"/>
        <v>37</v>
      </c>
      <c r="T21" s="45">
        <f t="shared" si="15"/>
        <v>69</v>
      </c>
      <c r="U21" s="38"/>
      <c r="V21" s="45">
        <f t="shared" si="7"/>
        <v>-18</v>
      </c>
      <c r="W21" s="55">
        <f t="shared" si="8"/>
        <v>0.9511</v>
      </c>
      <c r="X21" s="54">
        <f t="shared" si="9"/>
        <v>30.996349</v>
      </c>
      <c r="Y21" s="54">
        <f t="shared" si="16"/>
        <v>926.861429</v>
      </c>
    </row>
    <row r="22" spans="1:25">
      <c r="A22" s="42">
        <v>16</v>
      </c>
      <c r="B22" s="39">
        <v>373984.188</v>
      </c>
      <c r="C22" s="40">
        <v>3338019.206</v>
      </c>
      <c r="D22" s="43"/>
      <c r="E22" s="44">
        <f t="shared" si="10"/>
        <v>73</v>
      </c>
      <c r="F22" s="45">
        <f t="shared" si="11"/>
        <v>14</v>
      </c>
      <c r="G22" s="38">
        <f t="shared" si="0"/>
        <v>12.9410000000498</v>
      </c>
      <c r="H22" s="38">
        <f t="shared" si="1"/>
        <v>3.89899999974295</v>
      </c>
      <c r="I22" s="54">
        <f t="shared" si="12"/>
        <v>13.52</v>
      </c>
      <c r="J22" s="54">
        <f t="shared" si="13"/>
        <v>970.17</v>
      </c>
      <c r="K22" s="66">
        <v>126.66</v>
      </c>
      <c r="L22" s="54">
        <f t="shared" si="2"/>
        <v>4.09</v>
      </c>
      <c r="M22" s="54">
        <f t="shared" si="3"/>
        <v>4.09</v>
      </c>
      <c r="N22" s="54">
        <f>SUM(L$7:L22)</f>
        <v>35.6</v>
      </c>
      <c r="O22" s="72">
        <f>ROUND(SUM(M$7:M22),2)</f>
        <v>35.41</v>
      </c>
      <c r="P22" s="73">
        <f t="shared" si="4"/>
        <v>16.8313424947771</v>
      </c>
      <c r="Q22" s="89">
        <f t="shared" si="14"/>
        <v>17</v>
      </c>
      <c r="R22" s="90">
        <f t="shared" si="5"/>
        <v>0.9563</v>
      </c>
      <c r="S22" s="38">
        <f t="shared" si="6"/>
        <v>14</v>
      </c>
      <c r="T22" s="45">
        <f t="shared" si="15"/>
        <v>69</v>
      </c>
      <c r="U22" s="38"/>
      <c r="V22" s="45">
        <f t="shared" si="7"/>
        <v>4</v>
      </c>
      <c r="W22" s="55">
        <f t="shared" si="8"/>
        <v>0.9976</v>
      </c>
      <c r="X22" s="54">
        <f t="shared" si="9"/>
        <v>13.487552</v>
      </c>
      <c r="Y22" s="54">
        <f t="shared" si="16"/>
        <v>940.348981</v>
      </c>
    </row>
    <row r="23" spans="1:25">
      <c r="A23" s="42">
        <v>17</v>
      </c>
      <c r="B23" s="39">
        <v>374002.168</v>
      </c>
      <c r="C23" s="40">
        <v>3338019.905</v>
      </c>
      <c r="D23" s="43"/>
      <c r="E23" s="44">
        <f t="shared" si="10"/>
        <v>88</v>
      </c>
      <c r="F23" s="45">
        <f t="shared" si="11"/>
        <v>18</v>
      </c>
      <c r="G23" s="38">
        <f t="shared" si="0"/>
        <v>17.9799999999814</v>
      </c>
      <c r="H23" s="38">
        <f t="shared" si="1"/>
        <v>0.699000000022352</v>
      </c>
      <c r="I23" s="54">
        <f t="shared" si="12"/>
        <v>17.99</v>
      </c>
      <c r="J23" s="54">
        <f t="shared" si="13"/>
        <v>988.16</v>
      </c>
      <c r="K23" s="66">
        <v>129.91</v>
      </c>
      <c r="L23" s="54">
        <f t="shared" si="2"/>
        <v>3.25</v>
      </c>
      <c r="M23" s="54">
        <f t="shared" si="3"/>
        <v>3.13</v>
      </c>
      <c r="N23" s="54">
        <f>SUM(L$7:L23)</f>
        <v>38.85</v>
      </c>
      <c r="O23" s="72">
        <f>ROUND(SUM(M$7:M23),2)</f>
        <v>38.54</v>
      </c>
      <c r="P23" s="73">
        <f t="shared" si="4"/>
        <v>10.2403715740766</v>
      </c>
      <c r="Q23" s="89">
        <f t="shared" si="14"/>
        <v>10</v>
      </c>
      <c r="R23" s="90">
        <f t="shared" si="5"/>
        <v>0.9848</v>
      </c>
      <c r="S23" s="38">
        <f t="shared" si="6"/>
        <v>18</v>
      </c>
      <c r="T23" s="45">
        <f t="shared" si="15"/>
        <v>69</v>
      </c>
      <c r="U23" s="38"/>
      <c r="V23" s="45">
        <f t="shared" si="7"/>
        <v>19</v>
      </c>
      <c r="W23" s="55">
        <f t="shared" si="8"/>
        <v>0.9455</v>
      </c>
      <c r="X23" s="54">
        <f t="shared" si="9"/>
        <v>17.009545</v>
      </c>
      <c r="Y23" s="54">
        <f t="shared" si="16"/>
        <v>957.358526</v>
      </c>
    </row>
    <row r="24" spans="1:25">
      <c r="A24" s="42">
        <v>18</v>
      </c>
      <c r="B24" s="39">
        <v>374027.363</v>
      </c>
      <c r="C24" s="40">
        <v>3338021.039</v>
      </c>
      <c r="D24" s="43"/>
      <c r="E24" s="44">
        <f t="shared" si="10"/>
        <v>87</v>
      </c>
      <c r="F24" s="45">
        <f t="shared" si="11"/>
        <v>26</v>
      </c>
      <c r="G24" s="38">
        <f t="shared" si="0"/>
        <v>25.195000000007</v>
      </c>
      <c r="H24" s="38">
        <f t="shared" si="1"/>
        <v>1.13400000007823</v>
      </c>
      <c r="I24" s="54">
        <f t="shared" si="12"/>
        <v>25.22</v>
      </c>
      <c r="J24" s="54">
        <f t="shared" si="13"/>
        <v>1013.38</v>
      </c>
      <c r="K24" s="66">
        <v>137.16</v>
      </c>
      <c r="L24" s="54">
        <f t="shared" si="2"/>
        <v>7.25</v>
      </c>
      <c r="M24" s="54">
        <f t="shared" si="3"/>
        <v>7.17</v>
      </c>
      <c r="N24" s="54">
        <f>SUM(L$7:L24)</f>
        <v>46.1</v>
      </c>
      <c r="O24" s="72">
        <f>ROUND(SUM(M$7:M24),2)</f>
        <v>45.71</v>
      </c>
      <c r="P24" s="73">
        <f t="shared" si="4"/>
        <v>16.0383694983861</v>
      </c>
      <c r="Q24" s="89">
        <f t="shared" si="14"/>
        <v>16</v>
      </c>
      <c r="R24" s="90">
        <f t="shared" si="5"/>
        <v>0.9613</v>
      </c>
      <c r="S24" s="38">
        <f t="shared" si="6"/>
        <v>26</v>
      </c>
      <c r="T24" s="45">
        <f t="shared" si="15"/>
        <v>69</v>
      </c>
      <c r="U24" s="38"/>
      <c r="V24" s="45">
        <f t="shared" si="7"/>
        <v>18</v>
      </c>
      <c r="W24" s="55">
        <f t="shared" si="8"/>
        <v>0.9511</v>
      </c>
      <c r="X24" s="54">
        <f t="shared" si="9"/>
        <v>23.986742</v>
      </c>
      <c r="Y24" s="54">
        <f t="shared" si="16"/>
        <v>981.345268</v>
      </c>
    </row>
    <row r="25" ht="16.5" spans="1:25">
      <c r="A25" s="42">
        <v>19</v>
      </c>
      <c r="B25" s="39">
        <v>374063.285</v>
      </c>
      <c r="C25" s="40">
        <v>3338024.704</v>
      </c>
      <c r="D25" s="43"/>
      <c r="E25" s="44">
        <f t="shared" si="10"/>
        <v>84</v>
      </c>
      <c r="F25" s="45">
        <f t="shared" si="11"/>
        <v>43</v>
      </c>
      <c r="G25" s="38">
        <f t="shared" si="0"/>
        <v>35.9219999999623</v>
      </c>
      <c r="H25" s="38">
        <f t="shared" si="1"/>
        <v>3.66500000003725</v>
      </c>
      <c r="I25" s="54">
        <f t="shared" si="12"/>
        <v>36.11</v>
      </c>
      <c r="J25" s="54">
        <f t="shared" si="13"/>
        <v>1049.49</v>
      </c>
      <c r="K25" s="66">
        <v>160.5</v>
      </c>
      <c r="L25" s="54">
        <f t="shared" si="2"/>
        <v>23.34</v>
      </c>
      <c r="M25" s="54">
        <f t="shared" si="3"/>
        <v>23.42</v>
      </c>
      <c r="N25" s="54">
        <f>SUM(L$7:L25)</f>
        <v>69.44</v>
      </c>
      <c r="O25" s="72">
        <f>ROUND(SUM(M$7:M25),2)</f>
        <v>69.13</v>
      </c>
      <c r="P25" s="74">
        <f t="shared" si="4"/>
        <v>32.8769441632823</v>
      </c>
      <c r="Q25" s="91">
        <f t="shared" si="14"/>
        <v>33</v>
      </c>
      <c r="R25" s="90">
        <f t="shared" si="5"/>
        <v>0.8387</v>
      </c>
      <c r="S25" s="38">
        <f t="shared" si="6"/>
        <v>43</v>
      </c>
      <c r="T25" s="45">
        <f t="shared" si="15"/>
        <v>69</v>
      </c>
      <c r="U25" s="38"/>
      <c r="V25" s="45">
        <f t="shared" si="7"/>
        <v>15</v>
      </c>
      <c r="W25" s="55">
        <f t="shared" si="8"/>
        <v>0.9659</v>
      </c>
      <c r="X25" s="54">
        <f t="shared" si="9"/>
        <v>34.878649</v>
      </c>
      <c r="Y25" s="54">
        <f t="shared" si="16"/>
        <v>1016.223917</v>
      </c>
    </row>
    <row r="26" ht="16.5" spans="1:25">
      <c r="A26" s="42"/>
      <c r="B26" s="48"/>
      <c r="C26" s="49"/>
      <c r="D26" s="43"/>
      <c r="E26" s="45"/>
      <c r="F26" s="45"/>
      <c r="G26" s="38"/>
      <c r="H26" s="38"/>
      <c r="I26" s="54"/>
      <c r="J26" s="54"/>
      <c r="K26" s="75"/>
      <c r="L26" s="45"/>
      <c r="M26" s="54"/>
      <c r="N26" s="45"/>
      <c r="O26" s="72"/>
      <c r="P26" s="76" t="s">
        <v>91</v>
      </c>
      <c r="Q26" s="92"/>
      <c r="R26" s="90"/>
      <c r="S26" s="38"/>
      <c r="T26" s="45"/>
      <c r="U26" s="38"/>
      <c r="V26" s="45"/>
      <c r="W26" s="55"/>
      <c r="X26" s="54"/>
      <c r="Y26" s="54"/>
    </row>
    <row r="27" s="35" customFormat="1" spans="1:1">
      <c r="A27" s="50"/>
    </row>
    <row r="28" ht="37.5" spans="1:25">
      <c r="A28" s="51" t="s">
        <v>57</v>
      </c>
      <c r="B28" s="51" t="s">
        <v>92</v>
      </c>
      <c r="C28" s="51" t="s">
        <v>88</v>
      </c>
      <c r="D28" s="51" t="s">
        <v>93</v>
      </c>
      <c r="E28" s="41" t="s">
        <v>94</v>
      </c>
      <c r="F28" s="51" t="s">
        <v>95</v>
      </c>
      <c r="G28" s="51" t="s">
        <v>96</v>
      </c>
      <c r="H28" s="51" t="s">
        <v>97</v>
      </c>
      <c r="I28" s="51" t="s">
        <v>98</v>
      </c>
      <c r="J28" s="51" t="s">
        <v>99</v>
      </c>
      <c r="K28" s="51" t="s">
        <v>100</v>
      </c>
      <c r="L28" s="41" t="s">
        <v>101</v>
      </c>
      <c r="M28" s="41" t="s">
        <v>102</v>
      </c>
      <c r="N28" s="41" t="s">
        <v>103</v>
      </c>
      <c r="O28" s="51" t="s">
        <v>104</v>
      </c>
      <c r="P28" s="51"/>
      <c r="Q28" s="41" t="s">
        <v>105</v>
      </c>
      <c r="R28" s="41" t="s">
        <v>106</v>
      </c>
      <c r="S28" s="51"/>
      <c r="T28" s="93" t="s">
        <v>107</v>
      </c>
      <c r="U28" s="94" t="s">
        <v>108</v>
      </c>
      <c r="V28" s="95"/>
      <c r="W28" s="95"/>
      <c r="X28" s="95"/>
      <c r="Y28" s="95"/>
    </row>
    <row r="29" spans="1:24">
      <c r="A29" s="38"/>
      <c r="B29" s="52">
        <f t="shared" ref="B29:B48" si="17">K6</f>
        <v>91.06</v>
      </c>
      <c r="C29" s="38"/>
      <c r="D29" s="53"/>
      <c r="E29" s="53"/>
      <c r="F29" s="38"/>
      <c r="G29" s="38"/>
      <c r="H29" s="38"/>
      <c r="I29" s="38"/>
      <c r="J29" s="77"/>
      <c r="K29" s="77"/>
      <c r="L29" s="54"/>
      <c r="M29" s="54"/>
      <c r="N29" s="38" t="s">
        <v>109</v>
      </c>
      <c r="O29" s="46"/>
      <c r="P29" s="46"/>
      <c r="Q29" s="96"/>
      <c r="R29" s="96"/>
      <c r="S29" s="38"/>
      <c r="T29" s="45"/>
      <c r="U29" s="43"/>
      <c r="W29" s="97" t="s">
        <v>110</v>
      </c>
      <c r="X29" s="98" t="s">
        <v>111</v>
      </c>
    </row>
    <row r="30" spans="1:24">
      <c r="A30" s="45">
        <f t="shared" ref="A30:A48" si="18">E7</f>
        <v>49</v>
      </c>
      <c r="B30" s="52">
        <f t="shared" si="17"/>
        <v>79.41</v>
      </c>
      <c r="C30" s="45">
        <f t="shared" ref="C30:C48" si="19">ROUND(F7,0)</f>
        <v>99</v>
      </c>
      <c r="D30" s="53">
        <f>C30*J30</f>
        <v>98.2620690124909</v>
      </c>
      <c r="E30" s="53">
        <f>D30</f>
        <v>98.2620690124909</v>
      </c>
      <c r="F30" s="54">
        <f t="shared" ref="F30:F48" si="20">(B30-B29)/C30</f>
        <v>-0.117676767676768</v>
      </c>
      <c r="G30" s="55">
        <f t="shared" ref="G30:G48" si="21">ASIN(F30)</f>
        <v>-0.117950068688257</v>
      </c>
      <c r="H30" s="45">
        <f t="shared" ref="H30:H48" si="22">ROUND(DEGREES(G30),0)</f>
        <v>-7</v>
      </c>
      <c r="I30" s="78">
        <f t="shared" ref="I30:I48" si="23">ROUND(Q7,0)</f>
        <v>-7</v>
      </c>
      <c r="J30" s="55">
        <f t="shared" ref="J30:J48" si="24">COS(RADIANS(I30))</f>
        <v>0.992546151641322</v>
      </c>
      <c r="K30" s="55">
        <f t="shared" ref="K30:K48" si="25">SIN(RADIANS(I30))</f>
        <v>-0.121869343405147</v>
      </c>
      <c r="L30" s="54">
        <f t="shared" ref="L30:L48" si="26">M7</f>
        <v>-12.07</v>
      </c>
      <c r="M30" s="54">
        <f>L30</f>
        <v>-12.07</v>
      </c>
      <c r="N30" s="79">
        <v>69</v>
      </c>
      <c r="O30" s="80">
        <f t="shared" ref="O30:O48" si="27">ROUND(COS(RADIANS(A30-N30)),4)</f>
        <v>0.9397</v>
      </c>
      <c r="P30" s="80"/>
      <c r="Q30" s="96">
        <f t="shared" ref="Q30:Q48" si="28">ROUND((D30*O30),2)</f>
        <v>92.34</v>
      </c>
      <c r="R30" s="96">
        <f>Q30</f>
        <v>92.34</v>
      </c>
      <c r="S30" s="38"/>
      <c r="T30" s="54">
        <f t="shared" ref="T30:T48" si="29">ROUND(SIN(RADIANS(N30-A30))*D30,2)</f>
        <v>33.61</v>
      </c>
      <c r="U30" s="54">
        <f>ROUND(T30,2)</f>
        <v>33.61</v>
      </c>
      <c r="W30" s="99">
        <f>U30</f>
        <v>33.61</v>
      </c>
      <c r="X30" s="100">
        <f>R30</f>
        <v>92.34</v>
      </c>
    </row>
    <row r="31" spans="1:24">
      <c r="A31" s="45">
        <f t="shared" si="18"/>
        <v>62</v>
      </c>
      <c r="B31" s="52">
        <f t="shared" si="17"/>
        <v>77.01</v>
      </c>
      <c r="C31" s="45">
        <f t="shared" si="19"/>
        <v>63</v>
      </c>
      <c r="D31" s="53">
        <f t="shared" ref="D30:D48" si="30">C31*J31</f>
        <v>62.961622102203</v>
      </c>
      <c r="E31" s="53">
        <f t="shared" ref="E31:E48" si="31">D31+E30</f>
        <v>161.223691114694</v>
      </c>
      <c r="F31" s="54">
        <f t="shared" si="20"/>
        <v>-0.038095238095238</v>
      </c>
      <c r="G31" s="55">
        <f t="shared" si="21"/>
        <v>-0.0381044583856399</v>
      </c>
      <c r="H31" s="45">
        <f t="shared" si="22"/>
        <v>-2</v>
      </c>
      <c r="I31" s="78">
        <f t="shared" si="23"/>
        <v>-2</v>
      </c>
      <c r="J31" s="55">
        <f t="shared" si="24"/>
        <v>0.999390827019096</v>
      </c>
      <c r="K31" s="55">
        <f t="shared" si="25"/>
        <v>-0.034899496702501</v>
      </c>
      <c r="L31" s="54">
        <f t="shared" si="26"/>
        <v>-2.2</v>
      </c>
      <c r="M31" s="54">
        <f t="shared" ref="M31:M48" si="32">M30+L31</f>
        <v>-14.27</v>
      </c>
      <c r="N31" s="45">
        <f t="shared" ref="N31:N48" si="33">N30</f>
        <v>69</v>
      </c>
      <c r="O31" s="80">
        <f t="shared" si="27"/>
        <v>0.9925</v>
      </c>
      <c r="P31" s="80"/>
      <c r="Q31" s="96">
        <f t="shared" si="28"/>
        <v>62.49</v>
      </c>
      <c r="R31" s="54">
        <f t="shared" ref="R31:R48" si="34">Q31+R30</f>
        <v>154.83</v>
      </c>
      <c r="S31" s="38"/>
      <c r="T31" s="54">
        <f t="shared" si="29"/>
        <v>7.67</v>
      </c>
      <c r="U31" s="54">
        <f t="shared" ref="U31:U48" si="35">T31+U30</f>
        <v>41.28</v>
      </c>
      <c r="W31" s="99">
        <f>U31</f>
        <v>41.28</v>
      </c>
      <c r="X31" s="100">
        <f t="shared" ref="X31:X39" si="36">R31</f>
        <v>154.83</v>
      </c>
    </row>
    <row r="32" spans="1:24">
      <c r="A32" s="45">
        <f t="shared" si="18"/>
        <v>70</v>
      </c>
      <c r="B32" s="52">
        <f t="shared" si="17"/>
        <v>77.2</v>
      </c>
      <c r="C32" s="45">
        <f t="shared" si="19"/>
        <v>67</v>
      </c>
      <c r="D32" s="53">
        <f t="shared" si="30"/>
        <v>67</v>
      </c>
      <c r="E32" s="53">
        <f t="shared" si="31"/>
        <v>228.223691114694</v>
      </c>
      <c r="F32" s="54">
        <f t="shared" si="20"/>
        <v>0.00283582089552235</v>
      </c>
      <c r="G32" s="55">
        <f t="shared" si="21"/>
        <v>0.00283582469642474</v>
      </c>
      <c r="H32" s="45">
        <f t="shared" si="22"/>
        <v>0</v>
      </c>
      <c r="I32" s="78">
        <f t="shared" si="23"/>
        <v>0</v>
      </c>
      <c r="J32" s="55">
        <f t="shared" si="24"/>
        <v>1</v>
      </c>
      <c r="K32" s="55">
        <f t="shared" si="25"/>
        <v>0</v>
      </c>
      <c r="L32" s="54">
        <f t="shared" si="26"/>
        <v>0</v>
      </c>
      <c r="M32" s="54">
        <f t="shared" si="32"/>
        <v>-14.27</v>
      </c>
      <c r="N32" s="45">
        <f t="shared" si="33"/>
        <v>69</v>
      </c>
      <c r="O32" s="80">
        <f t="shared" si="27"/>
        <v>0.9998</v>
      </c>
      <c r="P32" s="80"/>
      <c r="Q32" s="96">
        <f t="shared" si="28"/>
        <v>66.99</v>
      </c>
      <c r="R32" s="54">
        <f t="shared" si="34"/>
        <v>221.82</v>
      </c>
      <c r="S32" s="38"/>
      <c r="T32" s="54">
        <f t="shared" si="29"/>
        <v>-1.17</v>
      </c>
      <c r="U32" s="54">
        <f t="shared" si="35"/>
        <v>40.11</v>
      </c>
      <c r="W32" s="99">
        <f>U32</f>
        <v>40.11</v>
      </c>
      <c r="X32" s="100">
        <f t="shared" si="36"/>
        <v>221.82</v>
      </c>
    </row>
    <row r="33" spans="1:24">
      <c r="A33" s="45">
        <f t="shared" si="18"/>
        <v>46</v>
      </c>
      <c r="B33" s="52">
        <f t="shared" si="17"/>
        <v>78.46</v>
      </c>
      <c r="C33" s="45">
        <f t="shared" si="19"/>
        <v>37</v>
      </c>
      <c r="D33" s="53">
        <f t="shared" si="30"/>
        <v>36.9774605997065</v>
      </c>
      <c r="E33" s="53">
        <f t="shared" si="31"/>
        <v>265.2011517144</v>
      </c>
      <c r="F33" s="54">
        <f t="shared" si="20"/>
        <v>0.0340540540540538</v>
      </c>
      <c r="G33" s="55">
        <f t="shared" si="21"/>
        <v>0.0340606394508652</v>
      </c>
      <c r="H33" s="45">
        <f t="shared" si="22"/>
        <v>2</v>
      </c>
      <c r="I33" s="78">
        <f t="shared" si="23"/>
        <v>2</v>
      </c>
      <c r="J33" s="55">
        <f t="shared" si="24"/>
        <v>0.999390827019096</v>
      </c>
      <c r="K33" s="55">
        <f t="shared" si="25"/>
        <v>0.034899496702501</v>
      </c>
      <c r="L33" s="54">
        <f t="shared" si="26"/>
        <v>1.29</v>
      </c>
      <c r="M33" s="54">
        <f t="shared" si="32"/>
        <v>-12.98</v>
      </c>
      <c r="N33" s="45">
        <f t="shared" si="33"/>
        <v>69</v>
      </c>
      <c r="O33" s="80">
        <f t="shared" si="27"/>
        <v>0.9205</v>
      </c>
      <c r="P33" s="80"/>
      <c r="Q33" s="96">
        <f t="shared" si="28"/>
        <v>34.04</v>
      </c>
      <c r="R33" s="54">
        <f t="shared" si="34"/>
        <v>255.86</v>
      </c>
      <c r="S33" s="38"/>
      <c r="T33" s="54">
        <f t="shared" si="29"/>
        <v>14.45</v>
      </c>
      <c r="U33" s="54">
        <f t="shared" si="35"/>
        <v>54.56</v>
      </c>
      <c r="W33" s="99">
        <f>U33</f>
        <v>54.56</v>
      </c>
      <c r="X33" s="100">
        <f t="shared" si="36"/>
        <v>255.86</v>
      </c>
    </row>
    <row r="34" spans="1:24">
      <c r="A34" s="45">
        <f t="shared" si="18"/>
        <v>83</v>
      </c>
      <c r="B34" s="52">
        <f t="shared" si="17"/>
        <v>77.75</v>
      </c>
      <c r="C34" s="45">
        <f t="shared" si="19"/>
        <v>50</v>
      </c>
      <c r="D34" s="53">
        <f t="shared" si="30"/>
        <v>49.9923847578196</v>
      </c>
      <c r="E34" s="53">
        <f t="shared" si="31"/>
        <v>315.19353647222</v>
      </c>
      <c r="F34" s="54">
        <f t="shared" si="20"/>
        <v>-0.0141999999999999</v>
      </c>
      <c r="G34" s="55">
        <f t="shared" si="21"/>
        <v>-0.0142004772579732</v>
      </c>
      <c r="H34" s="45">
        <f t="shared" si="22"/>
        <v>-1</v>
      </c>
      <c r="I34" s="78">
        <f t="shared" si="23"/>
        <v>-1</v>
      </c>
      <c r="J34" s="55">
        <f t="shared" si="24"/>
        <v>0.999847695156391</v>
      </c>
      <c r="K34" s="55">
        <f t="shared" si="25"/>
        <v>-0.0174524064372835</v>
      </c>
      <c r="L34" s="54">
        <f t="shared" si="26"/>
        <v>-0.87</v>
      </c>
      <c r="M34" s="54">
        <f t="shared" si="32"/>
        <v>-13.85</v>
      </c>
      <c r="N34" s="45">
        <f t="shared" si="33"/>
        <v>69</v>
      </c>
      <c r="O34" s="80">
        <f t="shared" si="27"/>
        <v>0.9703</v>
      </c>
      <c r="P34" s="80"/>
      <c r="Q34" s="96">
        <f t="shared" si="28"/>
        <v>48.51</v>
      </c>
      <c r="R34" s="54">
        <f t="shared" si="34"/>
        <v>304.37</v>
      </c>
      <c r="S34" s="38"/>
      <c r="T34" s="54">
        <f t="shared" si="29"/>
        <v>-12.09</v>
      </c>
      <c r="U34" s="54">
        <f t="shared" si="35"/>
        <v>42.47</v>
      </c>
      <c r="W34" s="99">
        <f>U34</f>
        <v>42.47</v>
      </c>
      <c r="X34" s="100">
        <f t="shared" si="36"/>
        <v>304.37</v>
      </c>
    </row>
    <row r="35" spans="1:24">
      <c r="A35" s="45">
        <f t="shared" si="18"/>
        <v>56</v>
      </c>
      <c r="B35" s="52">
        <f t="shared" si="17"/>
        <v>83.66</v>
      </c>
      <c r="C35" s="45">
        <f t="shared" si="19"/>
        <v>51</v>
      </c>
      <c r="D35" s="53">
        <f t="shared" si="30"/>
        <v>50.6198537337074</v>
      </c>
      <c r="E35" s="53">
        <f t="shared" si="31"/>
        <v>365.813390205927</v>
      </c>
      <c r="F35" s="54">
        <f t="shared" si="20"/>
        <v>0.115882352941176</v>
      </c>
      <c r="G35" s="55">
        <f t="shared" si="21"/>
        <v>0.116143291475296</v>
      </c>
      <c r="H35" s="45">
        <f t="shared" si="22"/>
        <v>7</v>
      </c>
      <c r="I35" s="78">
        <f t="shared" si="23"/>
        <v>7</v>
      </c>
      <c r="J35" s="55">
        <f t="shared" si="24"/>
        <v>0.992546151641322</v>
      </c>
      <c r="K35" s="55">
        <f t="shared" si="25"/>
        <v>0.121869343405147</v>
      </c>
      <c r="L35" s="54">
        <f t="shared" si="26"/>
        <v>6.22</v>
      </c>
      <c r="M35" s="54">
        <f t="shared" si="32"/>
        <v>-7.63</v>
      </c>
      <c r="N35" s="45">
        <f t="shared" si="33"/>
        <v>69</v>
      </c>
      <c r="O35" s="80">
        <f t="shared" si="27"/>
        <v>0.9744</v>
      </c>
      <c r="P35" s="80"/>
      <c r="Q35" s="96">
        <f t="shared" si="28"/>
        <v>49.32</v>
      </c>
      <c r="R35" s="54">
        <f t="shared" si="34"/>
        <v>353.69</v>
      </c>
      <c r="S35" s="38"/>
      <c r="T35" s="54">
        <f t="shared" si="29"/>
        <v>11.39</v>
      </c>
      <c r="U35" s="54">
        <f t="shared" si="35"/>
        <v>53.86</v>
      </c>
      <c r="W35" s="99">
        <f t="shared" ref="W35:W42" si="37">U35</f>
        <v>53.86</v>
      </c>
      <c r="X35" s="100">
        <f t="shared" si="36"/>
        <v>353.69</v>
      </c>
    </row>
    <row r="36" spans="1:25">
      <c r="A36" s="45">
        <f t="shared" si="18"/>
        <v>76</v>
      </c>
      <c r="B36" s="52">
        <f t="shared" si="17"/>
        <v>91.57</v>
      </c>
      <c r="C36" s="45">
        <f t="shared" si="19"/>
        <v>70</v>
      </c>
      <c r="D36" s="53">
        <f t="shared" si="30"/>
        <v>69.6165326757791</v>
      </c>
      <c r="E36" s="53">
        <f t="shared" si="31"/>
        <v>435.429922881707</v>
      </c>
      <c r="F36" s="54">
        <f t="shared" si="20"/>
        <v>0.113</v>
      </c>
      <c r="G36" s="55">
        <f t="shared" si="21"/>
        <v>0.113241875254556</v>
      </c>
      <c r="H36" s="45">
        <f t="shared" si="22"/>
        <v>6</v>
      </c>
      <c r="I36" s="78">
        <f t="shared" si="23"/>
        <v>6</v>
      </c>
      <c r="J36" s="55">
        <f t="shared" si="24"/>
        <v>0.994521895368273</v>
      </c>
      <c r="K36" s="55">
        <f t="shared" si="25"/>
        <v>0.104528463267653</v>
      </c>
      <c r="L36" s="54">
        <f t="shared" si="26"/>
        <v>7.32</v>
      </c>
      <c r="M36" s="54">
        <f t="shared" si="32"/>
        <v>-0.31</v>
      </c>
      <c r="N36" s="45">
        <f t="shared" si="33"/>
        <v>69</v>
      </c>
      <c r="O36" s="80">
        <f t="shared" si="27"/>
        <v>0.9925</v>
      </c>
      <c r="P36" s="80"/>
      <c r="Q36" s="96">
        <f t="shared" si="28"/>
        <v>69.09</v>
      </c>
      <c r="R36" s="54">
        <f t="shared" si="34"/>
        <v>422.78</v>
      </c>
      <c r="S36" s="38"/>
      <c r="T36" s="54">
        <f t="shared" si="29"/>
        <v>-8.48</v>
      </c>
      <c r="U36" s="54">
        <f t="shared" si="35"/>
        <v>45.38</v>
      </c>
      <c r="V36" s="101"/>
      <c r="W36" s="99">
        <f t="shared" si="37"/>
        <v>45.38</v>
      </c>
      <c r="X36" s="100">
        <f t="shared" si="36"/>
        <v>422.78</v>
      </c>
      <c r="Y36" s="103"/>
    </row>
    <row r="37" spans="1:26">
      <c r="A37" s="45">
        <f t="shared" si="18"/>
        <v>48</v>
      </c>
      <c r="B37" s="52">
        <f t="shared" si="17"/>
        <v>92.94</v>
      </c>
      <c r="C37" s="45">
        <f t="shared" si="19"/>
        <v>31</v>
      </c>
      <c r="D37" s="53">
        <f t="shared" si="30"/>
        <v>30.9575155773918</v>
      </c>
      <c r="E37" s="53">
        <f t="shared" si="31"/>
        <v>466.387438459098</v>
      </c>
      <c r="F37" s="54">
        <f t="shared" si="20"/>
        <v>0.0441935483870969</v>
      </c>
      <c r="G37" s="55">
        <f t="shared" si="21"/>
        <v>0.0442079465584966</v>
      </c>
      <c r="H37" s="45">
        <f t="shared" si="22"/>
        <v>3</v>
      </c>
      <c r="I37" s="78">
        <f t="shared" si="23"/>
        <v>3</v>
      </c>
      <c r="J37" s="55">
        <f t="shared" si="24"/>
        <v>0.998629534754574</v>
      </c>
      <c r="K37" s="55">
        <f t="shared" si="25"/>
        <v>0.0523359562429438</v>
      </c>
      <c r="L37" s="54">
        <f t="shared" si="26"/>
        <v>1.62</v>
      </c>
      <c r="M37" s="54">
        <f t="shared" si="32"/>
        <v>1.31</v>
      </c>
      <c r="N37" s="45">
        <f t="shared" si="33"/>
        <v>69</v>
      </c>
      <c r="O37" s="80">
        <f t="shared" si="27"/>
        <v>0.9336</v>
      </c>
      <c r="P37" s="80"/>
      <c r="Q37" s="96">
        <f t="shared" si="28"/>
        <v>28.9</v>
      </c>
      <c r="R37" s="54">
        <f t="shared" si="34"/>
        <v>451.68</v>
      </c>
      <c r="S37" s="38"/>
      <c r="T37" s="54">
        <f t="shared" si="29"/>
        <v>11.09</v>
      </c>
      <c r="U37" s="54">
        <f t="shared" si="35"/>
        <v>56.47</v>
      </c>
      <c r="V37" s="101"/>
      <c r="W37" s="99">
        <f t="shared" si="37"/>
        <v>56.47</v>
      </c>
      <c r="X37" s="100">
        <f t="shared" si="36"/>
        <v>451.68</v>
      </c>
      <c r="Y37" s="103"/>
      <c r="Z37" s="102"/>
    </row>
    <row r="38" spans="1:25">
      <c r="A38" s="45">
        <f t="shared" si="18"/>
        <v>75</v>
      </c>
      <c r="B38" s="52">
        <f t="shared" si="17"/>
        <v>90</v>
      </c>
      <c r="C38" s="45">
        <f t="shared" si="19"/>
        <v>100</v>
      </c>
      <c r="D38" s="53">
        <f t="shared" si="30"/>
        <v>99.9390827019096</v>
      </c>
      <c r="E38" s="53">
        <f t="shared" si="31"/>
        <v>566.326521161008</v>
      </c>
      <c r="F38" s="54">
        <f t="shared" si="20"/>
        <v>-0.0294</v>
      </c>
      <c r="G38" s="55">
        <f t="shared" si="21"/>
        <v>-0.0294042370122437</v>
      </c>
      <c r="H38" s="45">
        <f t="shared" si="22"/>
        <v>-2</v>
      </c>
      <c r="I38" s="78">
        <f t="shared" si="23"/>
        <v>-2</v>
      </c>
      <c r="J38" s="55">
        <f t="shared" si="24"/>
        <v>0.999390827019096</v>
      </c>
      <c r="K38" s="55">
        <f t="shared" si="25"/>
        <v>-0.034899496702501</v>
      </c>
      <c r="L38" s="54">
        <f t="shared" si="26"/>
        <v>-3.49</v>
      </c>
      <c r="M38" s="54">
        <f t="shared" si="32"/>
        <v>-2.18</v>
      </c>
      <c r="N38" s="45">
        <f t="shared" si="33"/>
        <v>69</v>
      </c>
      <c r="O38" s="80">
        <f t="shared" si="27"/>
        <v>0.9945</v>
      </c>
      <c r="P38" s="80"/>
      <c r="Q38" s="96">
        <f t="shared" si="28"/>
        <v>99.39</v>
      </c>
      <c r="R38" s="54">
        <f t="shared" si="34"/>
        <v>551.07</v>
      </c>
      <c r="S38" s="38"/>
      <c r="T38" s="54">
        <f t="shared" si="29"/>
        <v>-10.45</v>
      </c>
      <c r="U38" s="54">
        <f t="shared" si="35"/>
        <v>46.02</v>
      </c>
      <c r="V38" s="101"/>
      <c r="W38" s="99">
        <f t="shared" si="37"/>
        <v>46.02</v>
      </c>
      <c r="X38" s="100">
        <f t="shared" si="36"/>
        <v>551.07</v>
      </c>
      <c r="Y38" s="103"/>
    </row>
    <row r="39" spans="1:25">
      <c r="A39" s="45">
        <f t="shared" si="18"/>
        <v>79</v>
      </c>
      <c r="B39" s="52">
        <f t="shared" si="17"/>
        <v>92.03</v>
      </c>
      <c r="C39" s="45">
        <f t="shared" si="19"/>
        <v>94</v>
      </c>
      <c r="D39" s="53">
        <f t="shared" si="30"/>
        <v>93.9856833447008</v>
      </c>
      <c r="E39" s="53">
        <f t="shared" si="31"/>
        <v>660.312204505709</v>
      </c>
      <c r="F39" s="54">
        <f t="shared" si="20"/>
        <v>0.0215957446808511</v>
      </c>
      <c r="G39" s="55">
        <f t="shared" si="21"/>
        <v>0.0215974236567551</v>
      </c>
      <c r="H39" s="45">
        <f t="shared" si="22"/>
        <v>1</v>
      </c>
      <c r="I39" s="78">
        <f t="shared" si="23"/>
        <v>1</v>
      </c>
      <c r="J39" s="55">
        <f t="shared" si="24"/>
        <v>0.999847695156391</v>
      </c>
      <c r="K39" s="55">
        <f t="shared" si="25"/>
        <v>0.0174524064372835</v>
      </c>
      <c r="L39" s="54">
        <f t="shared" si="26"/>
        <v>1.64</v>
      </c>
      <c r="M39" s="54">
        <f t="shared" si="32"/>
        <v>-0.54</v>
      </c>
      <c r="N39" s="45">
        <f t="shared" si="33"/>
        <v>69</v>
      </c>
      <c r="O39" s="80">
        <f t="shared" si="27"/>
        <v>0.9848</v>
      </c>
      <c r="P39" s="80"/>
      <c r="Q39" s="96">
        <f t="shared" si="28"/>
        <v>92.56</v>
      </c>
      <c r="R39" s="54">
        <f t="shared" si="34"/>
        <v>643.63</v>
      </c>
      <c r="S39" s="38"/>
      <c r="T39" s="54">
        <f t="shared" si="29"/>
        <v>-16.32</v>
      </c>
      <c r="U39" s="54">
        <f t="shared" si="35"/>
        <v>29.7</v>
      </c>
      <c r="V39" s="101"/>
      <c r="W39" s="99">
        <f t="shared" si="37"/>
        <v>29.7</v>
      </c>
      <c r="X39" s="100">
        <f t="shared" si="36"/>
        <v>643.63</v>
      </c>
      <c r="Y39" s="103"/>
    </row>
    <row r="40" spans="1:25">
      <c r="A40" s="45">
        <f t="shared" si="18"/>
        <v>54</v>
      </c>
      <c r="B40" s="52">
        <f t="shared" si="17"/>
        <v>78.22</v>
      </c>
      <c r="C40" s="45">
        <f t="shared" si="19"/>
        <v>95</v>
      </c>
      <c r="D40" s="53">
        <f t="shared" si="30"/>
        <v>94.0754665304492</v>
      </c>
      <c r="E40" s="53">
        <f t="shared" si="31"/>
        <v>754.387671036158</v>
      </c>
      <c r="F40" s="54">
        <f t="shared" si="20"/>
        <v>-0.145368421052632</v>
      </c>
      <c r="G40" s="55">
        <f t="shared" si="21"/>
        <v>-0.145885338914842</v>
      </c>
      <c r="H40" s="45">
        <f t="shared" si="22"/>
        <v>-8</v>
      </c>
      <c r="I40" s="78">
        <f t="shared" si="23"/>
        <v>-8</v>
      </c>
      <c r="J40" s="55">
        <f t="shared" si="24"/>
        <v>0.99026806874157</v>
      </c>
      <c r="K40" s="55">
        <f t="shared" si="25"/>
        <v>-0.139173100960065</v>
      </c>
      <c r="L40" s="54">
        <f t="shared" si="26"/>
        <v>-13.22</v>
      </c>
      <c r="M40" s="54">
        <f t="shared" si="32"/>
        <v>-13.76</v>
      </c>
      <c r="N40" s="45">
        <f t="shared" si="33"/>
        <v>69</v>
      </c>
      <c r="O40" s="80">
        <f t="shared" si="27"/>
        <v>0.9659</v>
      </c>
      <c r="P40" s="80"/>
      <c r="Q40" s="96">
        <f t="shared" si="28"/>
        <v>90.87</v>
      </c>
      <c r="R40" s="54">
        <f t="shared" si="34"/>
        <v>734.5</v>
      </c>
      <c r="S40" s="38"/>
      <c r="T40" s="54">
        <f t="shared" si="29"/>
        <v>24.35</v>
      </c>
      <c r="U40" s="54">
        <f t="shared" si="35"/>
        <v>54.05</v>
      </c>
      <c r="V40" s="101"/>
      <c r="W40" s="99">
        <f t="shared" si="37"/>
        <v>54.05</v>
      </c>
      <c r="X40" s="100">
        <f t="shared" ref="X40:X48" si="38">R40</f>
        <v>734.5</v>
      </c>
      <c r="Y40" s="103"/>
    </row>
    <row r="41" spans="1:25">
      <c r="A41" s="45">
        <f t="shared" si="18"/>
        <v>73</v>
      </c>
      <c r="B41" s="52">
        <f t="shared" si="17"/>
        <v>79.33</v>
      </c>
      <c r="C41" s="45">
        <f t="shared" si="19"/>
        <v>87</v>
      </c>
      <c r="D41" s="53">
        <f t="shared" si="30"/>
        <v>86.986749478606</v>
      </c>
      <c r="E41" s="53">
        <f t="shared" si="31"/>
        <v>841.374420514764</v>
      </c>
      <c r="F41" s="54">
        <f t="shared" si="20"/>
        <v>0.0127586206896552</v>
      </c>
      <c r="G41" s="55">
        <f t="shared" si="21"/>
        <v>0.0127589668615004</v>
      </c>
      <c r="H41" s="45">
        <f t="shared" si="22"/>
        <v>1</v>
      </c>
      <c r="I41" s="78">
        <f t="shared" si="23"/>
        <v>1</v>
      </c>
      <c r="J41" s="55">
        <f t="shared" si="24"/>
        <v>0.999847695156391</v>
      </c>
      <c r="K41" s="55">
        <f t="shared" si="25"/>
        <v>0.0174524064372835</v>
      </c>
      <c r="L41" s="54">
        <f t="shared" si="26"/>
        <v>1.52</v>
      </c>
      <c r="M41" s="54">
        <f t="shared" si="32"/>
        <v>-12.24</v>
      </c>
      <c r="N41" s="45">
        <f t="shared" si="33"/>
        <v>69</v>
      </c>
      <c r="O41" s="80">
        <f t="shared" si="27"/>
        <v>0.9976</v>
      </c>
      <c r="P41" s="80"/>
      <c r="Q41" s="96">
        <f t="shared" si="28"/>
        <v>86.78</v>
      </c>
      <c r="R41" s="54">
        <f t="shared" si="34"/>
        <v>821.28</v>
      </c>
      <c r="S41" s="38"/>
      <c r="T41" s="54">
        <f t="shared" si="29"/>
        <v>-6.07</v>
      </c>
      <c r="U41" s="54">
        <f t="shared" si="35"/>
        <v>47.98</v>
      </c>
      <c r="V41" s="101"/>
      <c r="W41" s="99">
        <f t="shared" si="37"/>
        <v>47.98</v>
      </c>
      <c r="X41" s="100">
        <f t="shared" si="38"/>
        <v>821.28</v>
      </c>
      <c r="Y41" s="103"/>
    </row>
    <row r="42" spans="1:25">
      <c r="A42" s="45">
        <f t="shared" si="18"/>
        <v>77</v>
      </c>
      <c r="B42" s="52">
        <f t="shared" si="17"/>
        <v>86.43</v>
      </c>
      <c r="C42" s="45">
        <f t="shared" si="19"/>
        <v>35</v>
      </c>
      <c r="D42" s="53">
        <f t="shared" si="30"/>
        <v>34.2351660256832</v>
      </c>
      <c r="E42" s="53">
        <f t="shared" si="31"/>
        <v>875.609586540447</v>
      </c>
      <c r="F42" s="54">
        <f t="shared" si="20"/>
        <v>0.202857142857143</v>
      </c>
      <c r="G42" s="55">
        <f t="shared" si="21"/>
        <v>0.204274852537968</v>
      </c>
      <c r="H42" s="45">
        <f t="shared" si="22"/>
        <v>12</v>
      </c>
      <c r="I42" s="78">
        <f t="shared" si="23"/>
        <v>12</v>
      </c>
      <c r="J42" s="55">
        <f t="shared" si="24"/>
        <v>0.978147600733806</v>
      </c>
      <c r="K42" s="55">
        <f t="shared" si="25"/>
        <v>0.207911690817759</v>
      </c>
      <c r="L42" s="54">
        <f t="shared" si="26"/>
        <v>7.28</v>
      </c>
      <c r="M42" s="54">
        <f t="shared" si="32"/>
        <v>-4.96</v>
      </c>
      <c r="N42" s="45">
        <f t="shared" si="33"/>
        <v>69</v>
      </c>
      <c r="O42" s="80">
        <f t="shared" si="27"/>
        <v>0.9903</v>
      </c>
      <c r="P42" s="80"/>
      <c r="Q42" s="96">
        <f t="shared" si="28"/>
        <v>33.9</v>
      </c>
      <c r="R42" s="54">
        <f t="shared" si="34"/>
        <v>855.18</v>
      </c>
      <c r="S42" s="38"/>
      <c r="T42" s="54">
        <f t="shared" si="29"/>
        <v>-4.76</v>
      </c>
      <c r="U42" s="54">
        <f t="shared" si="35"/>
        <v>43.22</v>
      </c>
      <c r="V42" s="101"/>
      <c r="W42" s="99">
        <f t="shared" si="37"/>
        <v>43.22</v>
      </c>
      <c r="X42" s="100">
        <f t="shared" si="38"/>
        <v>855.18</v>
      </c>
      <c r="Y42" s="103"/>
    </row>
    <row r="43" spans="1:24">
      <c r="A43" s="45">
        <f t="shared" si="18"/>
        <v>102</v>
      </c>
      <c r="B43" s="52">
        <f t="shared" si="17"/>
        <v>106.11</v>
      </c>
      <c r="C43" s="45">
        <f t="shared" si="19"/>
        <v>52</v>
      </c>
      <c r="D43" s="53">
        <f t="shared" si="30"/>
        <v>48.2135604374729</v>
      </c>
      <c r="E43" s="53">
        <f t="shared" si="31"/>
        <v>923.82314697792</v>
      </c>
      <c r="F43" s="54">
        <f t="shared" si="20"/>
        <v>0.378461538461538</v>
      </c>
      <c r="G43" s="55">
        <f t="shared" si="21"/>
        <v>0.388133637584394</v>
      </c>
      <c r="H43" s="45">
        <f t="shared" si="22"/>
        <v>22</v>
      </c>
      <c r="I43" s="78">
        <f t="shared" si="23"/>
        <v>22</v>
      </c>
      <c r="J43" s="55">
        <f t="shared" si="24"/>
        <v>0.927183854566787</v>
      </c>
      <c r="K43" s="55">
        <f t="shared" si="25"/>
        <v>0.374606593415912</v>
      </c>
      <c r="L43" s="54">
        <f t="shared" si="26"/>
        <v>19.48</v>
      </c>
      <c r="M43" s="54">
        <f t="shared" si="32"/>
        <v>14.52</v>
      </c>
      <c r="N43" s="45">
        <f t="shared" si="33"/>
        <v>69</v>
      </c>
      <c r="O43" s="80">
        <f t="shared" si="27"/>
        <v>0.8387</v>
      </c>
      <c r="P43" s="80"/>
      <c r="Q43" s="96">
        <f t="shared" si="28"/>
        <v>40.44</v>
      </c>
      <c r="R43" s="54">
        <f t="shared" si="34"/>
        <v>895.62</v>
      </c>
      <c r="S43" s="38"/>
      <c r="T43" s="54">
        <f t="shared" si="29"/>
        <v>-26.26</v>
      </c>
      <c r="U43" s="54">
        <f t="shared" si="35"/>
        <v>16.96</v>
      </c>
      <c r="V43" s="101"/>
      <c r="W43" s="99">
        <f t="shared" ref="W43:W48" si="39">U43</f>
        <v>16.96</v>
      </c>
      <c r="X43" s="100">
        <f t="shared" si="38"/>
        <v>895.62</v>
      </c>
    </row>
    <row r="44" spans="1:24">
      <c r="A44" s="45">
        <f t="shared" si="18"/>
        <v>51</v>
      </c>
      <c r="B44" s="52">
        <f t="shared" si="17"/>
        <v>122.57</v>
      </c>
      <c r="C44" s="45">
        <f t="shared" si="19"/>
        <v>37</v>
      </c>
      <c r="D44" s="53">
        <f t="shared" si="30"/>
        <v>32.9672413949696</v>
      </c>
      <c r="E44" s="53">
        <f t="shared" si="31"/>
        <v>956.79038837289</v>
      </c>
      <c r="F44" s="54">
        <f t="shared" si="20"/>
        <v>0.444864864864865</v>
      </c>
      <c r="G44" s="55">
        <f t="shared" si="21"/>
        <v>0.46102336696889</v>
      </c>
      <c r="H44" s="45">
        <f t="shared" si="22"/>
        <v>26</v>
      </c>
      <c r="I44" s="78">
        <f t="shared" si="23"/>
        <v>27</v>
      </c>
      <c r="J44" s="55">
        <f t="shared" si="24"/>
        <v>0.891006524188368</v>
      </c>
      <c r="K44" s="55">
        <f t="shared" si="25"/>
        <v>0.453990499739547</v>
      </c>
      <c r="L44" s="54">
        <f t="shared" si="26"/>
        <v>16.8</v>
      </c>
      <c r="M44" s="54">
        <f t="shared" si="32"/>
        <v>31.32</v>
      </c>
      <c r="N44" s="45">
        <f t="shared" si="33"/>
        <v>69</v>
      </c>
      <c r="O44" s="80">
        <f t="shared" si="27"/>
        <v>0.9511</v>
      </c>
      <c r="P44" s="80"/>
      <c r="Q44" s="96">
        <f t="shared" si="28"/>
        <v>31.36</v>
      </c>
      <c r="R44" s="54">
        <f t="shared" si="34"/>
        <v>926.98</v>
      </c>
      <c r="S44" s="38"/>
      <c r="T44" s="54">
        <f t="shared" si="29"/>
        <v>10.19</v>
      </c>
      <c r="U44" s="54">
        <f t="shared" si="35"/>
        <v>27.15</v>
      </c>
      <c r="V44" s="101"/>
      <c r="W44" s="99">
        <f t="shared" si="39"/>
        <v>27.15</v>
      </c>
      <c r="X44" s="100">
        <f t="shared" si="38"/>
        <v>926.98</v>
      </c>
    </row>
    <row r="45" spans="1:24">
      <c r="A45" s="45">
        <f t="shared" si="18"/>
        <v>73</v>
      </c>
      <c r="B45" s="52">
        <f t="shared" si="17"/>
        <v>126.66</v>
      </c>
      <c r="C45" s="45">
        <f t="shared" si="19"/>
        <v>14</v>
      </c>
      <c r="D45" s="53">
        <f t="shared" si="30"/>
        <v>13.3882665834825</v>
      </c>
      <c r="E45" s="53">
        <f t="shared" si="31"/>
        <v>970.178654956372</v>
      </c>
      <c r="F45" s="54">
        <f t="shared" si="20"/>
        <v>0.292142857142857</v>
      </c>
      <c r="G45" s="55">
        <f t="shared" si="21"/>
        <v>0.296466677562391</v>
      </c>
      <c r="H45" s="45">
        <f t="shared" si="22"/>
        <v>17</v>
      </c>
      <c r="I45" s="78">
        <f t="shared" si="23"/>
        <v>17</v>
      </c>
      <c r="J45" s="55">
        <f t="shared" si="24"/>
        <v>0.956304755963035</v>
      </c>
      <c r="K45" s="55">
        <f t="shared" si="25"/>
        <v>0.292371704722737</v>
      </c>
      <c r="L45" s="54">
        <f t="shared" si="26"/>
        <v>4.09</v>
      </c>
      <c r="M45" s="54">
        <f t="shared" si="32"/>
        <v>35.41</v>
      </c>
      <c r="N45" s="45">
        <f t="shared" si="33"/>
        <v>69</v>
      </c>
      <c r="O45" s="80">
        <f t="shared" si="27"/>
        <v>0.9976</v>
      </c>
      <c r="P45" s="80"/>
      <c r="Q45" s="96">
        <f t="shared" si="28"/>
        <v>13.36</v>
      </c>
      <c r="R45" s="54">
        <f t="shared" si="34"/>
        <v>940.34</v>
      </c>
      <c r="S45" s="38"/>
      <c r="T45" s="54">
        <f t="shared" si="29"/>
        <v>-0.93</v>
      </c>
      <c r="U45" s="54">
        <f t="shared" si="35"/>
        <v>26.22</v>
      </c>
      <c r="V45" s="101"/>
      <c r="W45" s="99">
        <f t="shared" si="39"/>
        <v>26.22</v>
      </c>
      <c r="X45" s="100">
        <f t="shared" si="38"/>
        <v>940.34</v>
      </c>
    </row>
    <row r="46" spans="1:24">
      <c r="A46" s="45">
        <f t="shared" si="18"/>
        <v>88</v>
      </c>
      <c r="B46" s="52">
        <f t="shared" si="17"/>
        <v>129.91</v>
      </c>
      <c r="C46" s="45">
        <f t="shared" si="19"/>
        <v>18</v>
      </c>
      <c r="D46" s="53">
        <f t="shared" si="30"/>
        <v>17.7265395542197</v>
      </c>
      <c r="E46" s="53">
        <f t="shared" si="31"/>
        <v>987.905194510592</v>
      </c>
      <c r="F46" s="54">
        <f t="shared" si="20"/>
        <v>0.180555555555556</v>
      </c>
      <c r="G46" s="55">
        <f t="shared" si="21"/>
        <v>0.181551260797085</v>
      </c>
      <c r="H46" s="45">
        <f t="shared" si="22"/>
        <v>10</v>
      </c>
      <c r="I46" s="78">
        <f t="shared" si="23"/>
        <v>10</v>
      </c>
      <c r="J46" s="55">
        <f t="shared" si="24"/>
        <v>0.984807753012208</v>
      </c>
      <c r="K46" s="55">
        <f t="shared" si="25"/>
        <v>0.17364817766693</v>
      </c>
      <c r="L46" s="54">
        <f t="shared" si="26"/>
        <v>3.13</v>
      </c>
      <c r="M46" s="54">
        <f t="shared" si="32"/>
        <v>38.54</v>
      </c>
      <c r="N46" s="45">
        <f t="shared" si="33"/>
        <v>69</v>
      </c>
      <c r="O46" s="80">
        <f t="shared" si="27"/>
        <v>0.9455</v>
      </c>
      <c r="P46" s="80"/>
      <c r="Q46" s="96">
        <f t="shared" si="28"/>
        <v>16.76</v>
      </c>
      <c r="R46" s="54">
        <f t="shared" si="34"/>
        <v>957.1</v>
      </c>
      <c r="S46" s="38"/>
      <c r="T46" s="54">
        <f t="shared" si="29"/>
        <v>-5.77</v>
      </c>
      <c r="U46" s="54">
        <f t="shared" si="35"/>
        <v>20.45</v>
      </c>
      <c r="V46" s="101"/>
      <c r="W46" s="99">
        <f t="shared" si="39"/>
        <v>20.45</v>
      </c>
      <c r="X46" s="100">
        <f t="shared" si="38"/>
        <v>957.1</v>
      </c>
    </row>
    <row r="47" spans="1:24">
      <c r="A47" s="45">
        <f t="shared" si="18"/>
        <v>87</v>
      </c>
      <c r="B47" s="52">
        <f t="shared" si="17"/>
        <v>137.16</v>
      </c>
      <c r="C47" s="45">
        <f t="shared" si="19"/>
        <v>26</v>
      </c>
      <c r="D47" s="53">
        <f t="shared" si="30"/>
        <v>24.9928040943963</v>
      </c>
      <c r="E47" s="53">
        <f t="shared" si="31"/>
        <v>1012.89799860499</v>
      </c>
      <c r="F47" s="54">
        <f t="shared" si="20"/>
        <v>0.278846153846154</v>
      </c>
      <c r="G47" s="55">
        <f t="shared" si="21"/>
        <v>0.282592396442041</v>
      </c>
      <c r="H47" s="45">
        <f t="shared" si="22"/>
        <v>16</v>
      </c>
      <c r="I47" s="78">
        <f t="shared" si="23"/>
        <v>16</v>
      </c>
      <c r="J47" s="55">
        <f t="shared" si="24"/>
        <v>0.961261695938319</v>
      </c>
      <c r="K47" s="55">
        <f t="shared" si="25"/>
        <v>0.275637355816999</v>
      </c>
      <c r="L47" s="54">
        <f t="shared" si="26"/>
        <v>7.17</v>
      </c>
      <c r="M47" s="54">
        <f t="shared" si="32"/>
        <v>45.71</v>
      </c>
      <c r="N47" s="45">
        <f t="shared" si="33"/>
        <v>69</v>
      </c>
      <c r="O47" s="80">
        <f t="shared" si="27"/>
        <v>0.9511</v>
      </c>
      <c r="P47" s="80"/>
      <c r="Q47" s="96">
        <f t="shared" si="28"/>
        <v>23.77</v>
      </c>
      <c r="R47" s="54">
        <f t="shared" si="34"/>
        <v>980.87</v>
      </c>
      <c r="S47" s="38"/>
      <c r="T47" s="54">
        <f t="shared" si="29"/>
        <v>-7.72</v>
      </c>
      <c r="U47" s="54">
        <f t="shared" si="35"/>
        <v>12.73</v>
      </c>
      <c r="V47" s="101"/>
      <c r="W47" s="99">
        <f t="shared" si="39"/>
        <v>12.73</v>
      </c>
      <c r="X47" s="100">
        <f t="shared" si="38"/>
        <v>980.87</v>
      </c>
    </row>
    <row r="48" spans="1:24">
      <c r="A48" s="45">
        <f t="shared" si="18"/>
        <v>84</v>
      </c>
      <c r="B48" s="52">
        <f t="shared" si="17"/>
        <v>160.5</v>
      </c>
      <c r="C48" s="45">
        <f t="shared" si="19"/>
        <v>43</v>
      </c>
      <c r="D48" s="53">
        <f t="shared" si="30"/>
        <v>36.0628344216532</v>
      </c>
      <c r="E48" s="53">
        <f t="shared" si="31"/>
        <v>1048.96083302664</v>
      </c>
      <c r="F48" s="54">
        <f t="shared" si="20"/>
        <v>0.542790697674419</v>
      </c>
      <c r="G48" s="55">
        <f t="shared" si="21"/>
        <v>0.57375633665719</v>
      </c>
      <c r="H48" s="45">
        <f t="shared" si="22"/>
        <v>33</v>
      </c>
      <c r="I48" s="78">
        <f t="shared" si="23"/>
        <v>33</v>
      </c>
      <c r="J48" s="55">
        <f t="shared" si="24"/>
        <v>0.838670567945424</v>
      </c>
      <c r="K48" s="55">
        <f t="shared" si="25"/>
        <v>0.544639035015027</v>
      </c>
      <c r="L48" s="54">
        <f t="shared" si="26"/>
        <v>23.42</v>
      </c>
      <c r="M48" s="54">
        <f t="shared" si="32"/>
        <v>69.13</v>
      </c>
      <c r="N48" s="45">
        <f t="shared" si="33"/>
        <v>69</v>
      </c>
      <c r="O48" s="80">
        <f t="shared" si="27"/>
        <v>0.9659</v>
      </c>
      <c r="P48" s="80"/>
      <c r="Q48" s="96">
        <f t="shared" si="28"/>
        <v>34.83</v>
      </c>
      <c r="R48" s="54">
        <f t="shared" si="34"/>
        <v>1015.7</v>
      </c>
      <c r="S48" s="38"/>
      <c r="T48" s="54">
        <f t="shared" si="29"/>
        <v>-9.33</v>
      </c>
      <c r="U48" s="54">
        <f t="shared" si="35"/>
        <v>3.4</v>
      </c>
      <c r="V48" s="101"/>
      <c r="W48" s="99">
        <f t="shared" si="39"/>
        <v>3.4</v>
      </c>
      <c r="X48" s="100">
        <f t="shared" si="38"/>
        <v>1015.7</v>
      </c>
    </row>
    <row r="50" spans="3:11">
      <c r="C50" s="56" t="s">
        <v>112</v>
      </c>
      <c r="D50" s="57" t="s">
        <v>113</v>
      </c>
      <c r="E50" s="57"/>
      <c r="F50" s="57"/>
      <c r="G50" s="57"/>
      <c r="H50" s="57"/>
      <c r="I50" s="57"/>
      <c r="J50" s="57"/>
      <c r="K50" s="81"/>
    </row>
    <row r="51" spans="3:11">
      <c r="C51" s="58" t="s">
        <v>114</v>
      </c>
      <c r="D51" s="59" t="s">
        <v>115</v>
      </c>
      <c r="E51" s="60"/>
      <c r="F51" s="60"/>
      <c r="G51" s="60"/>
      <c r="H51" s="60"/>
      <c r="I51" s="60"/>
      <c r="J51" s="60"/>
      <c r="K51" s="82"/>
    </row>
    <row r="52" spans="3:11">
      <c r="C52" s="58" t="s">
        <v>116</v>
      </c>
      <c r="D52" s="59" t="s">
        <v>117</v>
      </c>
      <c r="E52" s="60"/>
      <c r="F52" s="60"/>
      <c r="G52" s="60"/>
      <c r="H52" s="60"/>
      <c r="I52" s="60"/>
      <c r="J52" s="60"/>
      <c r="K52" s="82"/>
    </row>
    <row r="53" spans="3:11">
      <c r="C53" s="61" t="s">
        <v>118</v>
      </c>
      <c r="D53" s="62" t="s">
        <v>119</v>
      </c>
      <c r="E53" s="62"/>
      <c r="F53" s="62"/>
      <c r="G53" s="62"/>
      <c r="H53" s="62"/>
      <c r="I53" s="62"/>
      <c r="J53" s="62"/>
      <c r="K53" s="83"/>
    </row>
    <row r="54" spans="3:11">
      <c r="C54" s="61" t="s">
        <v>120</v>
      </c>
      <c r="D54" s="62" t="s">
        <v>121</v>
      </c>
      <c r="E54" s="62"/>
      <c r="F54" s="62"/>
      <c r="G54" s="62"/>
      <c r="H54" s="62"/>
      <c r="I54" s="62"/>
      <c r="J54" s="62"/>
      <c r="K54" s="83"/>
    </row>
    <row r="55" spans="3:11">
      <c r="C55" s="61" t="s">
        <v>122</v>
      </c>
      <c r="D55" s="62" t="s">
        <v>123</v>
      </c>
      <c r="E55" s="62"/>
      <c r="F55" s="62"/>
      <c r="G55" s="62"/>
      <c r="H55" s="62"/>
      <c r="I55" s="62"/>
      <c r="J55" s="62"/>
      <c r="K55" s="83"/>
    </row>
    <row r="56" spans="3:11">
      <c r="C56" s="61" t="s">
        <v>124</v>
      </c>
      <c r="D56" s="62" t="s">
        <v>125</v>
      </c>
      <c r="E56" s="62"/>
      <c r="F56" s="62"/>
      <c r="G56" s="62"/>
      <c r="H56" s="62"/>
      <c r="I56" s="62"/>
      <c r="J56" s="62"/>
      <c r="K56" s="83"/>
    </row>
    <row r="57" spans="3:11">
      <c r="C57" s="61" t="s">
        <v>126</v>
      </c>
      <c r="D57" s="62" t="s">
        <v>127</v>
      </c>
      <c r="E57" s="62"/>
      <c r="F57" s="62"/>
      <c r="G57" s="62"/>
      <c r="H57" s="62"/>
      <c r="I57" s="62"/>
      <c r="J57" s="62"/>
      <c r="K57" s="83"/>
    </row>
    <row r="58" spans="3:11">
      <c r="C58" s="61" t="s">
        <v>128</v>
      </c>
      <c r="D58" s="62" t="s">
        <v>129</v>
      </c>
      <c r="E58" s="62"/>
      <c r="F58" s="62"/>
      <c r="G58" s="62"/>
      <c r="H58" s="62"/>
      <c r="I58" s="62"/>
      <c r="J58" s="62"/>
      <c r="K58" s="83"/>
    </row>
    <row r="59" spans="3:11">
      <c r="C59" s="61" t="s">
        <v>130</v>
      </c>
      <c r="D59" s="62" t="s">
        <v>131</v>
      </c>
      <c r="E59" s="62"/>
      <c r="F59" s="62"/>
      <c r="G59" s="62"/>
      <c r="H59" s="62"/>
      <c r="I59" s="62"/>
      <c r="J59" s="62"/>
      <c r="K59" s="83"/>
    </row>
    <row r="60" spans="3:11">
      <c r="C60" s="61" t="s">
        <v>132</v>
      </c>
      <c r="D60" s="62" t="s">
        <v>133</v>
      </c>
      <c r="E60" s="62"/>
      <c r="F60" s="62"/>
      <c r="G60" s="62"/>
      <c r="H60" s="62"/>
      <c r="I60" s="62"/>
      <c r="J60" s="62"/>
      <c r="K60" s="83"/>
    </row>
    <row r="61" spans="3:11">
      <c r="C61" s="63" t="s">
        <v>134</v>
      </c>
      <c r="D61" s="62" t="s">
        <v>135</v>
      </c>
      <c r="E61" s="62"/>
      <c r="F61" s="62"/>
      <c r="G61" s="62"/>
      <c r="H61" s="62"/>
      <c r="I61" s="62"/>
      <c r="J61" s="62"/>
      <c r="K61" s="83"/>
    </row>
    <row r="62" spans="3:11">
      <c r="C62" s="64" t="s">
        <v>136</v>
      </c>
      <c r="D62" s="65" t="s">
        <v>137</v>
      </c>
      <c r="E62" s="65"/>
      <c r="F62" s="65"/>
      <c r="G62" s="65"/>
      <c r="H62" s="65"/>
      <c r="I62" s="65"/>
      <c r="J62" s="65"/>
      <c r="K62" s="84"/>
    </row>
    <row r="66" spans="3:11">
      <c r="C66" s="104"/>
      <c r="D66" s="105"/>
      <c r="E66" s="105"/>
      <c r="F66" s="105"/>
      <c r="G66" s="105"/>
      <c r="H66" s="105"/>
      <c r="I66" s="105"/>
      <c r="J66" s="105"/>
      <c r="K66" s="105"/>
    </row>
    <row r="67" spans="3:11">
      <c r="C67" s="105"/>
      <c r="D67" s="105"/>
      <c r="E67" s="105"/>
      <c r="F67" s="105"/>
      <c r="G67" s="105"/>
      <c r="H67" s="105"/>
      <c r="I67" s="105"/>
      <c r="J67" s="105"/>
      <c r="K67" s="105"/>
    </row>
    <row r="68" spans="3:11">
      <c r="C68" s="105"/>
      <c r="D68" s="105"/>
      <c r="E68" s="105"/>
      <c r="F68" s="105"/>
      <c r="G68" s="105"/>
      <c r="H68" s="105"/>
      <c r="I68" s="105"/>
      <c r="J68" s="105"/>
      <c r="K68" s="105"/>
    </row>
    <row r="69" spans="3:11">
      <c r="C69" s="104"/>
      <c r="D69" s="105"/>
      <c r="E69" s="105"/>
      <c r="F69" s="105"/>
      <c r="G69" s="105"/>
      <c r="H69" s="105"/>
      <c r="I69" s="105"/>
      <c r="J69" s="105"/>
      <c r="K69" s="105"/>
    </row>
    <row r="70" spans="3:11">
      <c r="C70" s="104"/>
      <c r="D70" s="105"/>
      <c r="E70" s="105"/>
      <c r="F70" s="105"/>
      <c r="G70" s="105"/>
      <c r="H70" s="105"/>
      <c r="I70" s="105"/>
      <c r="J70" s="105"/>
      <c r="K70" s="105"/>
    </row>
    <row r="71" spans="3:11">
      <c r="C71" s="104"/>
      <c r="D71" s="105"/>
      <c r="E71" s="105"/>
      <c r="F71" s="105"/>
      <c r="G71" s="105"/>
      <c r="H71" s="105"/>
      <c r="I71" s="105"/>
      <c r="J71" s="105"/>
      <c r="K71" s="105"/>
    </row>
    <row r="72" spans="3:11">
      <c r="C72" s="104"/>
      <c r="D72" s="105"/>
      <c r="E72" s="105"/>
      <c r="F72" s="105"/>
      <c r="G72" s="105"/>
      <c r="H72" s="105"/>
      <c r="I72" s="105"/>
      <c r="J72" s="105"/>
      <c r="K72" s="105"/>
    </row>
    <row r="73" spans="3:11">
      <c r="C73" s="104"/>
      <c r="D73" s="105"/>
      <c r="E73" s="105"/>
      <c r="F73" s="105"/>
      <c r="G73" s="105"/>
      <c r="H73" s="105"/>
      <c r="I73" s="105"/>
      <c r="J73" s="105"/>
      <c r="K73" s="105"/>
    </row>
    <row r="74" spans="3:3">
      <c r="C74" s="106"/>
    </row>
    <row r="75" spans="3:3">
      <c r="C75" s="106"/>
    </row>
    <row r="76" spans="3:3">
      <c r="C76" s="106"/>
    </row>
    <row r="77" spans="3:3">
      <c r="C77" s="106"/>
    </row>
    <row r="78" spans="3:3">
      <c r="C78" s="106"/>
    </row>
    <row r="79" spans="3:3">
      <c r="C79" s="106"/>
    </row>
    <row r="80" spans="3:3">
      <c r="C80" s="106"/>
    </row>
    <row r="81" spans="3:3">
      <c r="C81" s="106"/>
    </row>
    <row r="82" spans="3:3">
      <c r="C82" s="106"/>
    </row>
    <row r="83" spans="3:3">
      <c r="C83" s="106"/>
    </row>
    <row r="84" spans="3:3">
      <c r="C84" s="106"/>
    </row>
    <row r="85" spans="3:3">
      <c r="C85" s="106"/>
    </row>
    <row r="86" spans="3:3">
      <c r="C86" s="106"/>
    </row>
    <row r="87" spans="3:3">
      <c r="C87" s="106"/>
    </row>
    <row r="88" spans="3:3">
      <c r="C88" s="106"/>
    </row>
    <row r="89" spans="3:3">
      <c r="C89" s="106"/>
    </row>
    <row r="90" spans="3:3">
      <c r="C90" s="106"/>
    </row>
    <row r="91" spans="3:3">
      <c r="C91" s="106"/>
    </row>
    <row r="92" spans="3:3">
      <c r="C92" s="106"/>
    </row>
    <row r="93" spans="3:3">
      <c r="C93" s="106"/>
    </row>
    <row r="94" spans="3:3">
      <c r="C94" s="106"/>
    </row>
    <row r="95" spans="3:3">
      <c r="C95" s="106"/>
    </row>
    <row r="96" spans="3:3">
      <c r="C96" s="106"/>
    </row>
    <row r="97" spans="3:3">
      <c r="C97" s="106"/>
    </row>
    <row r="98" spans="3:3">
      <c r="C98" s="106"/>
    </row>
  </sheetData>
  <mergeCells count="21">
    <mergeCell ref="A1:Y1"/>
    <mergeCell ref="P26:Q26"/>
    <mergeCell ref="A27:XFD27"/>
    <mergeCell ref="D50:K50"/>
    <mergeCell ref="D51:K51"/>
    <mergeCell ref="D52:K52"/>
    <mergeCell ref="D53:K53"/>
    <mergeCell ref="D54:K54"/>
    <mergeCell ref="D55:K55"/>
    <mergeCell ref="D56:K56"/>
    <mergeCell ref="D57:K57"/>
    <mergeCell ref="D58:K58"/>
    <mergeCell ref="D59:K59"/>
    <mergeCell ref="D60:K60"/>
    <mergeCell ref="D61:K61"/>
    <mergeCell ref="D62:K62"/>
    <mergeCell ref="D66:K66"/>
    <mergeCell ref="D69:K69"/>
    <mergeCell ref="D70:K70"/>
    <mergeCell ref="D71:K71"/>
    <mergeCell ref="D72:K72"/>
  </mergeCells>
  <pageMargins left="0.984027777777778" right="0.275" top="0.708333333333333" bottom="0.118055555555556" header="0.5" footer="0.156944444444444"/>
  <pageSetup paperSize="8" scale="72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workbookViewId="0">
      <selection activeCell="T10" sqref="T10"/>
    </sheetView>
  </sheetViews>
  <sheetFormatPr defaultColWidth="9" defaultRowHeight="13.5"/>
  <cols>
    <col min="1" max="1" width="7.275" customWidth="1"/>
    <col min="2" max="2" width="9.81666666666667" customWidth="1"/>
    <col min="3" max="3" width="10.725" customWidth="1"/>
    <col min="4" max="4" width="7.36666666666667" customWidth="1"/>
    <col min="5" max="7" width="6.54166666666667" customWidth="1"/>
    <col min="8" max="9" width="7.36666666666667" customWidth="1"/>
    <col min="10" max="10" width="6.54166666666667" customWidth="1"/>
    <col min="11" max="12" width="6.275" customWidth="1"/>
    <col min="13" max="13" width="8.275" customWidth="1"/>
    <col min="14" max="14" width="5.725" customWidth="1"/>
    <col min="15" max="15" width="7.275" customWidth="1"/>
    <col min="16" max="16" width="4.18333333333333" customWidth="1"/>
    <col min="17" max="17" width="6.54166666666667" customWidth="1"/>
    <col min="18" max="18" width="8.09166666666667" customWidth="1"/>
    <col min="19" max="19" width="3.63333333333333" customWidth="1"/>
  </cols>
  <sheetData>
    <row r="1" ht="21.75" customHeight="1" spans="1:19">
      <c r="A1" s="10" t="s">
        <v>138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ht="24.75" customHeight="1" spans="1:19">
      <c r="A2" s="12" t="s">
        <v>43</v>
      </c>
      <c r="B2" s="13" t="s">
        <v>44</v>
      </c>
      <c r="C2" s="13" t="s">
        <v>45</v>
      </c>
      <c r="D2" s="14" t="s">
        <v>139</v>
      </c>
      <c r="E2" s="14" t="s">
        <v>51</v>
      </c>
      <c r="F2" s="13" t="s">
        <v>59</v>
      </c>
      <c r="G2" s="13" t="s">
        <v>60</v>
      </c>
      <c r="H2" s="14" t="s">
        <v>140</v>
      </c>
      <c r="I2" s="13"/>
      <c r="J2" s="14" t="s">
        <v>3</v>
      </c>
      <c r="K2" s="14" t="s">
        <v>141</v>
      </c>
      <c r="L2" s="13"/>
      <c r="M2" s="14" t="s">
        <v>142</v>
      </c>
      <c r="N2" s="13"/>
      <c r="O2" s="14" t="s">
        <v>143</v>
      </c>
      <c r="P2" s="13"/>
      <c r="Q2" s="13"/>
      <c r="R2" s="14" t="s">
        <v>144</v>
      </c>
      <c r="S2" s="13"/>
    </row>
    <row r="3" ht="15" customHeight="1" spans="1:19">
      <c r="A3" s="15">
        <v>100</v>
      </c>
      <c r="B3" s="16">
        <v>373114.538</v>
      </c>
      <c r="C3" s="16">
        <v>3337660.534</v>
      </c>
      <c r="D3" s="15"/>
      <c r="E3" s="15"/>
      <c r="F3" s="15"/>
      <c r="G3" s="15"/>
      <c r="H3" s="20"/>
      <c r="I3" s="20"/>
      <c r="J3" s="30">
        <v>93.5</v>
      </c>
      <c r="K3" s="15"/>
      <c r="L3" s="15"/>
      <c r="M3" s="15"/>
      <c r="N3" s="15"/>
      <c r="O3" s="15"/>
      <c r="P3" s="15"/>
      <c r="Q3" s="15"/>
      <c r="R3" s="15"/>
      <c r="S3" s="15"/>
    </row>
    <row r="4" ht="15" customHeight="1" spans="1:19">
      <c r="A4" s="15">
        <v>109</v>
      </c>
      <c r="B4" s="16">
        <v>374063.285</v>
      </c>
      <c r="C4" s="16">
        <v>3338024.704</v>
      </c>
      <c r="D4" s="15"/>
      <c r="E4" s="20"/>
      <c r="F4" s="28">
        <f t="shared" ref="F4:G32" si="0">B4-B3</f>
        <v>948.746999999974</v>
      </c>
      <c r="G4" s="28">
        <f t="shared" si="0"/>
        <v>364.169999999925</v>
      </c>
      <c r="H4" s="20">
        <f>SQRT(POWER(F4,2)+POWER(G4,2))</f>
        <v>1016.2384852528</v>
      </c>
      <c r="I4" s="20"/>
      <c r="J4" s="30">
        <v>160.5</v>
      </c>
      <c r="K4" s="20">
        <f t="shared" ref="K4:K32" si="1">J4-J3</f>
        <v>67</v>
      </c>
      <c r="L4" s="15"/>
      <c r="M4" s="15"/>
      <c r="N4" s="15"/>
      <c r="O4" s="15"/>
      <c r="P4" s="15"/>
      <c r="Q4" s="15"/>
      <c r="R4" s="15"/>
      <c r="S4" s="29">
        <f>DEGREES(ATAN(F4/G4))</f>
        <v>69.0010449013592</v>
      </c>
    </row>
    <row r="5" ht="15" customHeight="1" spans="1:19">
      <c r="A5" s="15"/>
      <c r="B5" s="21"/>
      <c r="C5" s="21"/>
      <c r="D5" s="15"/>
      <c r="E5" s="20"/>
      <c r="F5" s="28"/>
      <c r="G5" s="28"/>
      <c r="H5" s="20"/>
      <c r="I5" s="20"/>
      <c r="J5" s="20"/>
      <c r="K5" s="20"/>
      <c r="L5" s="15"/>
      <c r="M5" s="15"/>
      <c r="N5" s="15"/>
      <c r="O5" s="15"/>
      <c r="P5" s="15"/>
      <c r="Q5" s="15"/>
      <c r="R5" s="15"/>
      <c r="S5" s="15"/>
    </row>
    <row r="6" ht="15" customHeight="1" spans="1:19">
      <c r="A6" s="22">
        <v>0</v>
      </c>
      <c r="B6" s="16">
        <v>373114.538</v>
      </c>
      <c r="C6" s="16">
        <v>3337660.534</v>
      </c>
      <c r="D6" s="15"/>
      <c r="E6" s="20"/>
      <c r="F6" s="28"/>
      <c r="G6" s="28"/>
      <c r="H6" s="20"/>
      <c r="I6" s="20"/>
      <c r="J6" s="23">
        <v>67</v>
      </c>
      <c r="K6" s="20"/>
      <c r="L6" s="15"/>
      <c r="M6" s="15"/>
      <c r="N6" s="31" t="s">
        <v>145</v>
      </c>
      <c r="O6" s="15"/>
      <c r="P6" s="31" t="s">
        <v>145</v>
      </c>
      <c r="Q6" s="15" t="s">
        <v>87</v>
      </c>
      <c r="R6" s="31" t="s">
        <v>146</v>
      </c>
      <c r="S6" s="15"/>
    </row>
    <row r="7" ht="15" customHeight="1" spans="1:19">
      <c r="A7" s="22">
        <v>1</v>
      </c>
      <c r="B7" s="16">
        <v>373188.635</v>
      </c>
      <c r="C7" s="16">
        <v>3337724.388</v>
      </c>
      <c r="D7" s="29">
        <f>ROUND(DEGREES(ATAN(F7/G7)),0)</f>
        <v>49</v>
      </c>
      <c r="E7" s="20">
        <f t="shared" ref="E7:E32" si="2">ROUND(H7/Q7,0)</f>
        <v>98</v>
      </c>
      <c r="F7" s="28">
        <f>B7-B6</f>
        <v>74.0970000000088</v>
      </c>
      <c r="G7" s="28">
        <f t="shared" si="0"/>
        <v>63.8539999998175</v>
      </c>
      <c r="H7" s="20">
        <f t="shared" ref="H7:H32" si="3">ROUND(SQRT(POWER(F7,2)+POWER(G7,2)),2)</f>
        <v>97.81</v>
      </c>
      <c r="I7" s="20">
        <f>H7</f>
        <v>97.81</v>
      </c>
      <c r="J7" s="23">
        <v>74</v>
      </c>
      <c r="K7" s="28">
        <f>J7-J6</f>
        <v>7</v>
      </c>
      <c r="L7" s="28">
        <f t="shared" ref="L7:L32" si="4">ROUND(E7*SIN(RADIANS(P7)),2)</f>
        <v>6.84</v>
      </c>
      <c r="M7" s="32">
        <f>SUM(K$7:K7)</f>
        <v>7</v>
      </c>
      <c r="N7" s="28">
        <f>ROUND(SUM(L$7:L7),2)</f>
        <v>6.84</v>
      </c>
      <c r="O7" s="28">
        <f t="shared" ref="O7:O32" si="5">DEGREES(ATAN(K7/H7))</f>
        <v>4.09352630671851</v>
      </c>
      <c r="P7" s="32">
        <f>ROUND(O7,0)</f>
        <v>4</v>
      </c>
      <c r="Q7" s="33">
        <f t="shared" ref="Q7:Q32" si="6">ROUND(COS(RADIANS(P7)),4)</f>
        <v>0.9976</v>
      </c>
      <c r="R7" s="28">
        <f t="shared" ref="R7:R32" si="7">ROUND(H7/(COS(RADIANS(O7))),0)</f>
        <v>98</v>
      </c>
      <c r="S7" s="32">
        <f>ROUND(S4,0)</f>
        <v>69</v>
      </c>
    </row>
    <row r="8" ht="15" customHeight="1" spans="1:19">
      <c r="A8" s="22">
        <v>2</v>
      </c>
      <c r="B8" s="16">
        <v>373244.122</v>
      </c>
      <c r="C8" s="16">
        <v>3337753.846</v>
      </c>
      <c r="D8" s="29">
        <f t="shared" ref="D8:D25" si="8">ROUND(DEGREES(ATAN(F8/G8)),0)</f>
        <v>62</v>
      </c>
      <c r="E8" s="20">
        <f t="shared" si="2"/>
        <v>63</v>
      </c>
      <c r="F8" s="28">
        <f t="shared" si="0"/>
        <v>55.4869999999646</v>
      </c>
      <c r="G8" s="28">
        <f t="shared" si="0"/>
        <v>29.4580000001006</v>
      </c>
      <c r="H8" s="20">
        <f t="shared" si="3"/>
        <v>62.82</v>
      </c>
      <c r="I8" s="20">
        <f t="shared" ref="I8:I32" si="9">H8+I7</f>
        <v>160.63</v>
      </c>
      <c r="J8" s="23">
        <v>82</v>
      </c>
      <c r="K8" s="28">
        <f t="shared" si="1"/>
        <v>8</v>
      </c>
      <c r="L8" s="28">
        <f t="shared" si="4"/>
        <v>7.68</v>
      </c>
      <c r="M8" s="32">
        <f>SUM(K$7:K8)</f>
        <v>15</v>
      </c>
      <c r="N8" s="28">
        <f>ROUND(SUM(L$7:L8),2)</f>
        <v>14.52</v>
      </c>
      <c r="O8" s="28">
        <f t="shared" si="5"/>
        <v>7.25743741488026</v>
      </c>
      <c r="P8" s="32">
        <f t="shared" ref="P8:P32" si="10">ROUND(O8,0)</f>
        <v>7</v>
      </c>
      <c r="Q8" s="33">
        <f t="shared" si="6"/>
        <v>0.9925</v>
      </c>
      <c r="R8" s="28">
        <f t="shared" si="7"/>
        <v>63</v>
      </c>
      <c r="S8" s="32">
        <f t="shared" ref="S8:S32" si="11">S7</f>
        <v>69</v>
      </c>
    </row>
    <row r="9" ht="15" customHeight="1" spans="1:19">
      <c r="A9" s="22">
        <v>3</v>
      </c>
      <c r="B9" s="16">
        <v>373306.719</v>
      </c>
      <c r="C9" s="16">
        <v>3337776.828</v>
      </c>
      <c r="D9" s="29">
        <f t="shared" si="8"/>
        <v>70</v>
      </c>
      <c r="E9" s="20">
        <f t="shared" si="2"/>
        <v>71</v>
      </c>
      <c r="F9" s="28">
        <f t="shared" si="0"/>
        <v>62.5970000000088</v>
      </c>
      <c r="G9" s="28">
        <f t="shared" si="0"/>
        <v>22.9820000003092</v>
      </c>
      <c r="H9" s="20">
        <f t="shared" si="3"/>
        <v>66.68</v>
      </c>
      <c r="I9" s="20">
        <f t="shared" si="9"/>
        <v>227.31</v>
      </c>
      <c r="J9" s="23">
        <v>106</v>
      </c>
      <c r="K9" s="28">
        <f t="shared" si="1"/>
        <v>24</v>
      </c>
      <c r="L9" s="28">
        <f t="shared" si="4"/>
        <v>24.28</v>
      </c>
      <c r="M9" s="32">
        <f>SUM(K$7:K9)</f>
        <v>39</v>
      </c>
      <c r="N9" s="28">
        <f>ROUND(SUM(L$7:L9),2)</f>
        <v>38.8</v>
      </c>
      <c r="O9" s="28">
        <f t="shared" si="5"/>
        <v>19.7952250037377</v>
      </c>
      <c r="P9" s="32">
        <f t="shared" si="10"/>
        <v>20</v>
      </c>
      <c r="Q9" s="33">
        <f t="shared" si="6"/>
        <v>0.9397</v>
      </c>
      <c r="R9" s="28">
        <f t="shared" si="7"/>
        <v>71</v>
      </c>
      <c r="S9" s="32">
        <f t="shared" si="11"/>
        <v>69</v>
      </c>
    </row>
    <row r="10" ht="15" customHeight="1" spans="1:19">
      <c r="A10" s="22">
        <v>4</v>
      </c>
      <c r="B10" s="16">
        <v>373333.289</v>
      </c>
      <c r="C10" s="16">
        <v>3337802.372</v>
      </c>
      <c r="D10" s="29">
        <f t="shared" si="8"/>
        <v>46</v>
      </c>
      <c r="E10" s="20">
        <f t="shared" si="2"/>
        <v>37</v>
      </c>
      <c r="F10" s="28">
        <f t="shared" si="0"/>
        <v>26.570000000007</v>
      </c>
      <c r="G10" s="28">
        <f t="shared" si="0"/>
        <v>25.5439999997616</v>
      </c>
      <c r="H10" s="20">
        <f t="shared" si="3"/>
        <v>36.86</v>
      </c>
      <c r="I10" s="20">
        <f t="shared" si="9"/>
        <v>264.17</v>
      </c>
      <c r="J10" s="23">
        <v>107</v>
      </c>
      <c r="K10" s="28">
        <f t="shared" si="1"/>
        <v>1</v>
      </c>
      <c r="L10" s="28">
        <f t="shared" si="4"/>
        <v>1.29</v>
      </c>
      <c r="M10" s="32">
        <f>SUM(K$7:K10)</f>
        <v>40</v>
      </c>
      <c r="N10" s="28">
        <f>ROUND(SUM(L$7:L10),2)</f>
        <v>40.09</v>
      </c>
      <c r="O10" s="28">
        <f t="shared" si="5"/>
        <v>1.55403496418781</v>
      </c>
      <c r="P10" s="32">
        <f t="shared" si="10"/>
        <v>2</v>
      </c>
      <c r="Q10" s="33">
        <f t="shared" si="6"/>
        <v>0.9994</v>
      </c>
      <c r="R10" s="28">
        <f t="shared" si="7"/>
        <v>37</v>
      </c>
      <c r="S10" s="32">
        <f t="shared" si="11"/>
        <v>69</v>
      </c>
    </row>
    <row r="11" ht="15" customHeight="1" spans="1:19">
      <c r="A11" s="22">
        <v>5</v>
      </c>
      <c r="B11" s="16">
        <v>373382.841</v>
      </c>
      <c r="C11" s="16">
        <v>3337808.362</v>
      </c>
      <c r="D11" s="29">
        <f t="shared" si="8"/>
        <v>83</v>
      </c>
      <c r="E11" s="20">
        <f t="shared" si="2"/>
        <v>51</v>
      </c>
      <c r="F11" s="28">
        <f t="shared" si="0"/>
        <v>49.5520000000251</v>
      </c>
      <c r="G11" s="28">
        <f t="shared" si="0"/>
        <v>5.99000000022352</v>
      </c>
      <c r="H11" s="20">
        <f t="shared" si="3"/>
        <v>49.91</v>
      </c>
      <c r="I11" s="20">
        <f t="shared" si="9"/>
        <v>314.08</v>
      </c>
      <c r="J11" s="23">
        <v>95</v>
      </c>
      <c r="K11" s="28">
        <f t="shared" si="1"/>
        <v>-12</v>
      </c>
      <c r="L11" s="28">
        <f t="shared" si="4"/>
        <v>-12.34</v>
      </c>
      <c r="M11" s="32">
        <f>SUM(K$7:K11)</f>
        <v>28</v>
      </c>
      <c r="N11" s="28">
        <f>ROUND(SUM(L$7:L11),2)</f>
        <v>27.75</v>
      </c>
      <c r="O11" s="28">
        <f t="shared" si="5"/>
        <v>-13.5191769020956</v>
      </c>
      <c r="P11" s="32">
        <f t="shared" si="10"/>
        <v>-14</v>
      </c>
      <c r="Q11" s="33">
        <f t="shared" si="6"/>
        <v>0.9703</v>
      </c>
      <c r="R11" s="28">
        <f t="shared" si="7"/>
        <v>51</v>
      </c>
      <c r="S11" s="32">
        <f t="shared" si="11"/>
        <v>69</v>
      </c>
    </row>
    <row r="12" ht="15" customHeight="1" spans="1:19">
      <c r="A12" s="22">
        <v>6</v>
      </c>
      <c r="B12" s="16">
        <v>373424.675</v>
      </c>
      <c r="C12" s="16">
        <v>3337836.758</v>
      </c>
      <c r="D12" s="29">
        <f t="shared" si="8"/>
        <v>56</v>
      </c>
      <c r="E12" s="20">
        <f t="shared" si="2"/>
        <v>51</v>
      </c>
      <c r="F12" s="28">
        <f t="shared" si="0"/>
        <v>41.8339999999735</v>
      </c>
      <c r="G12" s="28">
        <f t="shared" si="0"/>
        <v>28.3959999997169</v>
      </c>
      <c r="H12" s="20">
        <f t="shared" si="3"/>
        <v>50.56</v>
      </c>
      <c r="I12" s="20">
        <f t="shared" si="9"/>
        <v>364.64</v>
      </c>
      <c r="J12" s="23">
        <v>95</v>
      </c>
      <c r="K12" s="28">
        <f t="shared" si="1"/>
        <v>0</v>
      </c>
      <c r="L12" s="28">
        <f t="shared" si="4"/>
        <v>0</v>
      </c>
      <c r="M12" s="32">
        <f>SUM(K$7:K12)</f>
        <v>28</v>
      </c>
      <c r="N12" s="28">
        <f>ROUND(SUM(L$7:L12),2)</f>
        <v>27.75</v>
      </c>
      <c r="O12" s="28">
        <f t="shared" si="5"/>
        <v>0</v>
      </c>
      <c r="P12" s="32">
        <f t="shared" si="10"/>
        <v>0</v>
      </c>
      <c r="Q12" s="33">
        <f t="shared" si="6"/>
        <v>1</v>
      </c>
      <c r="R12" s="28">
        <f t="shared" si="7"/>
        <v>51</v>
      </c>
      <c r="S12" s="32">
        <f t="shared" si="11"/>
        <v>69</v>
      </c>
    </row>
    <row r="13" ht="15" customHeight="1" spans="1:19">
      <c r="A13" s="22">
        <v>7</v>
      </c>
      <c r="B13" s="16">
        <v>373492.305</v>
      </c>
      <c r="C13" s="16">
        <v>3337854.005</v>
      </c>
      <c r="D13" s="29">
        <f t="shared" si="8"/>
        <v>76</v>
      </c>
      <c r="E13" s="20">
        <f t="shared" si="2"/>
        <v>70</v>
      </c>
      <c r="F13" s="28">
        <f t="shared" si="0"/>
        <v>67.6300000000047</v>
      </c>
      <c r="G13" s="28">
        <f t="shared" si="0"/>
        <v>17.2469999999739</v>
      </c>
      <c r="H13" s="20">
        <f t="shared" si="3"/>
        <v>69.79</v>
      </c>
      <c r="I13" s="20">
        <f t="shared" si="9"/>
        <v>434.43</v>
      </c>
      <c r="J13" s="23">
        <v>93</v>
      </c>
      <c r="K13" s="28">
        <f t="shared" si="1"/>
        <v>-2</v>
      </c>
      <c r="L13" s="28">
        <f t="shared" si="4"/>
        <v>-2.44</v>
      </c>
      <c r="M13" s="32">
        <f>SUM(K$7:K13)</f>
        <v>26</v>
      </c>
      <c r="N13" s="28">
        <f>ROUND(SUM(L$7:L13),2)</f>
        <v>25.31</v>
      </c>
      <c r="O13" s="28">
        <f t="shared" si="5"/>
        <v>-1.64149885605566</v>
      </c>
      <c r="P13" s="32">
        <f t="shared" si="10"/>
        <v>-2</v>
      </c>
      <c r="Q13" s="33">
        <f t="shared" si="6"/>
        <v>0.9994</v>
      </c>
      <c r="R13" s="28">
        <f t="shared" si="7"/>
        <v>70</v>
      </c>
      <c r="S13" s="32">
        <f t="shared" si="11"/>
        <v>69</v>
      </c>
    </row>
    <row r="14" ht="15" customHeight="1" spans="1:19">
      <c r="A14" s="22">
        <v>8</v>
      </c>
      <c r="B14" s="16">
        <v>373515.119</v>
      </c>
      <c r="C14" s="16">
        <v>3337874.274</v>
      </c>
      <c r="D14" s="29">
        <f t="shared" si="8"/>
        <v>48</v>
      </c>
      <c r="E14" s="20">
        <f t="shared" si="2"/>
        <v>31</v>
      </c>
      <c r="F14" s="28">
        <f t="shared" si="0"/>
        <v>22.814000000013</v>
      </c>
      <c r="G14" s="28">
        <f t="shared" si="0"/>
        <v>20.2690000003204</v>
      </c>
      <c r="H14" s="20">
        <f t="shared" si="3"/>
        <v>30.52</v>
      </c>
      <c r="I14" s="20">
        <f t="shared" si="9"/>
        <v>464.95</v>
      </c>
      <c r="J14" s="23">
        <v>93</v>
      </c>
      <c r="K14" s="28">
        <f t="shared" si="1"/>
        <v>0</v>
      </c>
      <c r="L14" s="28">
        <f t="shared" si="4"/>
        <v>0</v>
      </c>
      <c r="M14" s="32">
        <f>SUM(K$7:K14)</f>
        <v>26</v>
      </c>
      <c r="N14" s="28">
        <f>ROUND(SUM(L$7:L14),2)</f>
        <v>25.31</v>
      </c>
      <c r="O14" s="28">
        <f t="shared" si="5"/>
        <v>0</v>
      </c>
      <c r="P14" s="32">
        <f t="shared" si="10"/>
        <v>0</v>
      </c>
      <c r="Q14" s="33">
        <f t="shared" si="6"/>
        <v>1</v>
      </c>
      <c r="R14" s="28">
        <f t="shared" si="7"/>
        <v>31</v>
      </c>
      <c r="S14" s="32">
        <f t="shared" si="11"/>
        <v>69</v>
      </c>
    </row>
    <row r="15" ht="15" customHeight="1" spans="1:19">
      <c r="A15" s="22">
        <v>9</v>
      </c>
      <c r="B15" s="16">
        <v>373612.318</v>
      </c>
      <c r="C15" s="16">
        <v>3337899.472</v>
      </c>
      <c r="D15" s="29">
        <f t="shared" si="8"/>
        <v>75</v>
      </c>
      <c r="E15" s="20">
        <f t="shared" si="2"/>
        <v>101</v>
      </c>
      <c r="F15" s="28">
        <f t="shared" si="0"/>
        <v>97.1990000000224</v>
      </c>
      <c r="G15" s="28">
        <f t="shared" si="0"/>
        <v>25.1979999998584</v>
      </c>
      <c r="H15" s="20">
        <f t="shared" si="3"/>
        <v>100.41</v>
      </c>
      <c r="I15" s="20">
        <f t="shared" si="9"/>
        <v>565.36</v>
      </c>
      <c r="J15" s="23">
        <v>98</v>
      </c>
      <c r="K15" s="28">
        <f t="shared" si="1"/>
        <v>5</v>
      </c>
      <c r="L15" s="28">
        <f t="shared" si="4"/>
        <v>5.29</v>
      </c>
      <c r="M15" s="32">
        <f>SUM(K$7:K15)</f>
        <v>31</v>
      </c>
      <c r="N15" s="28">
        <f>ROUND(SUM(L$7:L15),2)</f>
        <v>30.6</v>
      </c>
      <c r="O15" s="28">
        <f t="shared" si="5"/>
        <v>2.8507366043774</v>
      </c>
      <c r="P15" s="32">
        <f t="shared" si="10"/>
        <v>3</v>
      </c>
      <c r="Q15" s="33">
        <f t="shared" si="6"/>
        <v>0.9986</v>
      </c>
      <c r="R15" s="28">
        <f t="shared" si="7"/>
        <v>101</v>
      </c>
      <c r="S15" s="32">
        <f t="shared" si="11"/>
        <v>69</v>
      </c>
    </row>
    <row r="16" ht="15" customHeight="1" spans="1:19">
      <c r="A16" s="22">
        <v>10</v>
      </c>
      <c r="B16" s="16">
        <v>373704.907</v>
      </c>
      <c r="C16" s="16">
        <v>3337917.283</v>
      </c>
      <c r="D16" s="29">
        <f t="shared" si="8"/>
        <v>79</v>
      </c>
      <c r="E16" s="20">
        <f t="shared" si="2"/>
        <v>94</v>
      </c>
      <c r="F16" s="28">
        <f t="shared" si="0"/>
        <v>92.5889999999781</v>
      </c>
      <c r="G16" s="28">
        <f t="shared" si="0"/>
        <v>17.8109999997541</v>
      </c>
      <c r="H16" s="20">
        <f t="shared" si="3"/>
        <v>94.29</v>
      </c>
      <c r="I16" s="20">
        <f t="shared" si="9"/>
        <v>659.65</v>
      </c>
      <c r="J16" s="23">
        <v>102</v>
      </c>
      <c r="K16" s="28">
        <f t="shared" si="1"/>
        <v>4</v>
      </c>
      <c r="L16" s="28">
        <f t="shared" si="4"/>
        <v>3.28</v>
      </c>
      <c r="M16" s="32">
        <f>SUM(K$7:K16)</f>
        <v>35</v>
      </c>
      <c r="N16" s="28">
        <f>ROUND(SUM(L$7:L16),2)</f>
        <v>33.88</v>
      </c>
      <c r="O16" s="28">
        <f t="shared" si="5"/>
        <v>2.42916303927515</v>
      </c>
      <c r="P16" s="32">
        <f t="shared" si="10"/>
        <v>2</v>
      </c>
      <c r="Q16" s="33">
        <f t="shared" si="6"/>
        <v>0.9994</v>
      </c>
      <c r="R16" s="28">
        <f t="shared" si="7"/>
        <v>94</v>
      </c>
      <c r="S16" s="32">
        <f t="shared" si="11"/>
        <v>69</v>
      </c>
    </row>
    <row r="17" ht="15" customHeight="1" spans="1:19">
      <c r="A17" s="22">
        <v>11</v>
      </c>
      <c r="B17" s="16">
        <v>373781.068</v>
      </c>
      <c r="C17" s="16">
        <v>3337972.453</v>
      </c>
      <c r="D17" s="29">
        <f t="shared" si="8"/>
        <v>54</v>
      </c>
      <c r="E17" s="20">
        <f t="shared" si="2"/>
        <v>94</v>
      </c>
      <c r="F17" s="28">
        <f t="shared" si="0"/>
        <v>76.1610000000219</v>
      </c>
      <c r="G17" s="28">
        <f t="shared" si="0"/>
        <v>55.1700000003912</v>
      </c>
      <c r="H17" s="20">
        <f t="shared" si="3"/>
        <v>94.04</v>
      </c>
      <c r="I17" s="20">
        <f t="shared" si="9"/>
        <v>753.69</v>
      </c>
      <c r="J17" s="23">
        <v>98</v>
      </c>
      <c r="K17" s="28">
        <f t="shared" si="1"/>
        <v>-4</v>
      </c>
      <c r="L17" s="28">
        <f t="shared" si="4"/>
        <v>-3.28</v>
      </c>
      <c r="M17" s="32">
        <f>SUM(K$7:K17)</f>
        <v>31</v>
      </c>
      <c r="N17" s="28">
        <f>ROUND(SUM(L$7:L17),2)</f>
        <v>30.6</v>
      </c>
      <c r="O17" s="28">
        <f t="shared" si="5"/>
        <v>-2.43561306465512</v>
      </c>
      <c r="P17" s="32">
        <f t="shared" si="10"/>
        <v>-2</v>
      </c>
      <c r="Q17" s="33">
        <f t="shared" si="6"/>
        <v>0.9994</v>
      </c>
      <c r="R17" s="28">
        <f t="shared" si="7"/>
        <v>94</v>
      </c>
      <c r="S17" s="32">
        <f t="shared" si="11"/>
        <v>69</v>
      </c>
    </row>
    <row r="18" ht="15" customHeight="1" spans="1:19">
      <c r="A18" s="22">
        <v>12</v>
      </c>
      <c r="B18" s="16">
        <v>373864.769</v>
      </c>
      <c r="C18" s="16">
        <v>3337997.291</v>
      </c>
      <c r="D18" s="29">
        <f t="shared" si="8"/>
        <v>73</v>
      </c>
      <c r="E18" s="20">
        <f t="shared" si="2"/>
        <v>88</v>
      </c>
      <c r="F18" s="28">
        <f t="shared" si="0"/>
        <v>83.7009999999427</v>
      </c>
      <c r="G18" s="28">
        <f t="shared" si="0"/>
        <v>24.8379999999888</v>
      </c>
      <c r="H18" s="20">
        <f t="shared" si="3"/>
        <v>87.31</v>
      </c>
      <c r="I18" s="20">
        <f t="shared" si="9"/>
        <v>841</v>
      </c>
      <c r="J18" s="23">
        <v>88</v>
      </c>
      <c r="K18" s="28">
        <f t="shared" si="1"/>
        <v>-10</v>
      </c>
      <c r="L18" s="28">
        <f t="shared" si="4"/>
        <v>-10.72</v>
      </c>
      <c r="M18" s="32">
        <f>SUM(K$7:K18)</f>
        <v>21</v>
      </c>
      <c r="N18" s="28">
        <f>ROUND(SUM(L$7:L18),2)</f>
        <v>19.88</v>
      </c>
      <c r="O18" s="28">
        <f t="shared" si="5"/>
        <v>-6.53386728828027</v>
      </c>
      <c r="P18" s="32">
        <f t="shared" si="10"/>
        <v>-7</v>
      </c>
      <c r="Q18" s="33">
        <f t="shared" si="6"/>
        <v>0.9925</v>
      </c>
      <c r="R18" s="28">
        <f t="shared" si="7"/>
        <v>88</v>
      </c>
      <c r="S18" s="32">
        <f t="shared" si="11"/>
        <v>69</v>
      </c>
    </row>
    <row r="19" ht="15" customHeight="1" spans="1:19">
      <c r="A19" s="22">
        <v>13</v>
      </c>
      <c r="B19" s="16">
        <v>373898.519</v>
      </c>
      <c r="C19" s="16">
        <v>3338004.887</v>
      </c>
      <c r="D19" s="29">
        <f t="shared" si="8"/>
        <v>77</v>
      </c>
      <c r="E19" s="20">
        <f t="shared" si="2"/>
        <v>37</v>
      </c>
      <c r="F19" s="28">
        <f t="shared" si="0"/>
        <v>33.75</v>
      </c>
      <c r="G19" s="28">
        <f t="shared" si="0"/>
        <v>7.59599999990314</v>
      </c>
      <c r="H19" s="20">
        <f t="shared" si="3"/>
        <v>34.59</v>
      </c>
      <c r="I19" s="20">
        <f t="shared" si="9"/>
        <v>875.59</v>
      </c>
      <c r="J19" s="23">
        <v>74</v>
      </c>
      <c r="K19" s="28">
        <f t="shared" si="1"/>
        <v>-14</v>
      </c>
      <c r="L19" s="28">
        <f t="shared" si="4"/>
        <v>-13.86</v>
      </c>
      <c r="M19" s="32">
        <f>SUM(K$7:K19)</f>
        <v>7</v>
      </c>
      <c r="N19" s="28">
        <f>ROUND(SUM(L$7:L19),2)</f>
        <v>6.02</v>
      </c>
      <c r="O19" s="28">
        <f t="shared" si="5"/>
        <v>-22.0352103245093</v>
      </c>
      <c r="P19" s="32">
        <f t="shared" si="10"/>
        <v>-22</v>
      </c>
      <c r="Q19" s="33">
        <f t="shared" si="6"/>
        <v>0.9272</v>
      </c>
      <c r="R19" s="28">
        <f t="shared" si="7"/>
        <v>37</v>
      </c>
      <c r="S19" s="32">
        <f t="shared" si="11"/>
        <v>69</v>
      </c>
    </row>
    <row r="20" ht="15" customHeight="1" spans="1:19">
      <c r="A20" s="22">
        <v>14</v>
      </c>
      <c r="B20" s="16">
        <v>373945.926</v>
      </c>
      <c r="C20" s="16">
        <v>3337994.788</v>
      </c>
      <c r="D20" s="29">
        <f t="shared" si="8"/>
        <v>-78</v>
      </c>
      <c r="E20" s="20">
        <f t="shared" si="2"/>
        <v>48</v>
      </c>
      <c r="F20" s="28">
        <f t="shared" si="0"/>
        <v>47.4070000000065</v>
      </c>
      <c r="G20" s="28">
        <f t="shared" si="0"/>
        <v>-10.0989999999292</v>
      </c>
      <c r="H20" s="20">
        <f t="shared" si="3"/>
        <v>48.47</v>
      </c>
      <c r="I20" s="20">
        <f t="shared" si="9"/>
        <v>924.06</v>
      </c>
      <c r="J20" s="23">
        <v>72</v>
      </c>
      <c r="K20" s="28">
        <f t="shared" si="1"/>
        <v>-2</v>
      </c>
      <c r="L20" s="28">
        <f t="shared" si="4"/>
        <v>-1.68</v>
      </c>
      <c r="M20" s="32">
        <f>SUM(K$7:K20)</f>
        <v>5</v>
      </c>
      <c r="N20" s="28">
        <f>ROUND(SUM(L$7:L20),2)</f>
        <v>4.34</v>
      </c>
      <c r="O20" s="28">
        <f t="shared" si="5"/>
        <v>-2.36283455034035</v>
      </c>
      <c r="P20" s="32">
        <f t="shared" si="10"/>
        <v>-2</v>
      </c>
      <c r="Q20" s="33">
        <f t="shared" si="6"/>
        <v>0.9994</v>
      </c>
      <c r="R20" s="28">
        <f t="shared" si="7"/>
        <v>49</v>
      </c>
      <c r="S20" s="32">
        <f t="shared" si="11"/>
        <v>69</v>
      </c>
    </row>
    <row r="21" ht="15" customHeight="1" spans="1:19">
      <c r="A21" s="22">
        <v>15</v>
      </c>
      <c r="B21" s="16">
        <v>373971.247</v>
      </c>
      <c r="C21" s="16">
        <v>3338015.307</v>
      </c>
      <c r="D21" s="29">
        <f t="shared" si="8"/>
        <v>51</v>
      </c>
      <c r="E21" s="20">
        <f t="shared" si="2"/>
        <v>33</v>
      </c>
      <c r="F21" s="28">
        <f t="shared" si="0"/>
        <v>25.3209999999963</v>
      </c>
      <c r="G21" s="28">
        <f t="shared" si="0"/>
        <v>20.5189999998547</v>
      </c>
      <c r="H21" s="20">
        <f t="shared" si="3"/>
        <v>32.59</v>
      </c>
      <c r="I21" s="20">
        <f t="shared" si="9"/>
        <v>956.65</v>
      </c>
      <c r="J21" s="23">
        <v>70</v>
      </c>
      <c r="K21" s="28">
        <f t="shared" si="1"/>
        <v>-2</v>
      </c>
      <c r="L21" s="28">
        <f t="shared" si="4"/>
        <v>-2.3</v>
      </c>
      <c r="M21" s="32">
        <f>SUM(K$7:K21)</f>
        <v>3</v>
      </c>
      <c r="N21" s="28">
        <f>ROUND(SUM(L$7:L21),2)</f>
        <v>2.04</v>
      </c>
      <c r="O21" s="28">
        <f t="shared" si="5"/>
        <v>-3.51175296051495</v>
      </c>
      <c r="P21" s="32">
        <f t="shared" si="10"/>
        <v>-4</v>
      </c>
      <c r="Q21" s="33">
        <f t="shared" si="6"/>
        <v>0.9976</v>
      </c>
      <c r="R21" s="28">
        <f t="shared" si="7"/>
        <v>33</v>
      </c>
      <c r="S21" s="32">
        <f t="shared" si="11"/>
        <v>69</v>
      </c>
    </row>
    <row r="22" ht="15" customHeight="1" spans="1:19">
      <c r="A22" s="22">
        <v>16</v>
      </c>
      <c r="B22" s="16">
        <v>373984.188</v>
      </c>
      <c r="C22" s="16">
        <v>3338019.206</v>
      </c>
      <c r="D22" s="29">
        <f t="shared" si="8"/>
        <v>73</v>
      </c>
      <c r="E22" s="20">
        <f t="shared" si="2"/>
        <v>14</v>
      </c>
      <c r="F22" s="28">
        <f t="shared" si="0"/>
        <v>12.9410000000498</v>
      </c>
      <c r="G22" s="28">
        <f t="shared" si="0"/>
        <v>3.89899999974295</v>
      </c>
      <c r="H22" s="20">
        <f t="shared" si="3"/>
        <v>13.52</v>
      </c>
      <c r="I22" s="20">
        <f t="shared" si="9"/>
        <v>970.17</v>
      </c>
      <c r="J22" s="23">
        <v>68</v>
      </c>
      <c r="K22" s="28">
        <f t="shared" si="1"/>
        <v>-2</v>
      </c>
      <c r="L22" s="28">
        <f t="shared" si="4"/>
        <v>-1.95</v>
      </c>
      <c r="M22" s="32">
        <f>SUM(K$7:K22)</f>
        <v>1</v>
      </c>
      <c r="N22" s="28">
        <f>ROUND(SUM(L$7:L22),2)</f>
        <v>0.09</v>
      </c>
      <c r="O22" s="28">
        <f t="shared" si="5"/>
        <v>-8.41468170030659</v>
      </c>
      <c r="P22" s="32">
        <f t="shared" si="10"/>
        <v>-8</v>
      </c>
      <c r="Q22" s="33">
        <f t="shared" si="6"/>
        <v>0.9903</v>
      </c>
      <c r="R22" s="28">
        <f t="shared" si="7"/>
        <v>14</v>
      </c>
      <c r="S22" s="32">
        <f t="shared" si="11"/>
        <v>69</v>
      </c>
    </row>
    <row r="23" ht="15" customHeight="1" spans="1:19">
      <c r="A23" s="22">
        <v>17</v>
      </c>
      <c r="B23" s="16">
        <v>374002.168</v>
      </c>
      <c r="C23" s="16">
        <v>3338019.905</v>
      </c>
      <c r="D23" s="29">
        <f t="shared" si="8"/>
        <v>88</v>
      </c>
      <c r="E23" s="20">
        <f t="shared" si="2"/>
        <v>18</v>
      </c>
      <c r="F23" s="28">
        <f t="shared" si="0"/>
        <v>17.9799999999814</v>
      </c>
      <c r="G23" s="28">
        <f t="shared" si="0"/>
        <v>0.699000000022352</v>
      </c>
      <c r="H23" s="20">
        <f t="shared" si="3"/>
        <v>17.99</v>
      </c>
      <c r="I23" s="20">
        <f t="shared" si="9"/>
        <v>988.16</v>
      </c>
      <c r="J23" s="23">
        <v>68</v>
      </c>
      <c r="K23" s="28">
        <f t="shared" si="1"/>
        <v>0</v>
      </c>
      <c r="L23" s="28">
        <f t="shared" si="4"/>
        <v>0</v>
      </c>
      <c r="M23" s="32">
        <f>SUM(K$7:K23)</f>
        <v>1</v>
      </c>
      <c r="N23" s="28">
        <f>ROUND(SUM(L$7:L23),2)</f>
        <v>0.09</v>
      </c>
      <c r="O23" s="28">
        <f t="shared" si="5"/>
        <v>0</v>
      </c>
      <c r="P23" s="32">
        <f t="shared" si="10"/>
        <v>0</v>
      </c>
      <c r="Q23" s="33">
        <f t="shared" si="6"/>
        <v>1</v>
      </c>
      <c r="R23" s="28">
        <f t="shared" si="7"/>
        <v>18</v>
      </c>
      <c r="S23" s="32">
        <f t="shared" si="11"/>
        <v>69</v>
      </c>
    </row>
    <row r="24" ht="15" customHeight="1" spans="1:19">
      <c r="A24" s="22">
        <v>18</v>
      </c>
      <c r="B24" s="16">
        <v>374027.363</v>
      </c>
      <c r="C24" s="16">
        <v>3338021.039</v>
      </c>
      <c r="D24" s="29">
        <f t="shared" si="8"/>
        <v>87</v>
      </c>
      <c r="E24" s="20">
        <f t="shared" si="2"/>
        <v>25</v>
      </c>
      <c r="F24" s="28">
        <f t="shared" si="0"/>
        <v>25.195000000007</v>
      </c>
      <c r="G24" s="28">
        <f t="shared" si="0"/>
        <v>1.13400000007823</v>
      </c>
      <c r="H24" s="20">
        <f t="shared" si="3"/>
        <v>25.22</v>
      </c>
      <c r="I24" s="20">
        <f t="shared" si="9"/>
        <v>1013.38</v>
      </c>
      <c r="J24" s="23">
        <v>68</v>
      </c>
      <c r="K24" s="28">
        <f t="shared" si="1"/>
        <v>0</v>
      </c>
      <c r="L24" s="28">
        <f t="shared" si="4"/>
        <v>0</v>
      </c>
      <c r="M24" s="32">
        <f>SUM(K$7:K24)</f>
        <v>1</v>
      </c>
      <c r="N24" s="28">
        <f>ROUND(SUM(L$7:L24),2)</f>
        <v>0.09</v>
      </c>
      <c r="O24" s="28">
        <f t="shared" si="5"/>
        <v>0</v>
      </c>
      <c r="P24" s="32">
        <f t="shared" si="10"/>
        <v>0</v>
      </c>
      <c r="Q24" s="33">
        <f t="shared" si="6"/>
        <v>1</v>
      </c>
      <c r="R24" s="28">
        <f t="shared" si="7"/>
        <v>25</v>
      </c>
      <c r="S24" s="32">
        <f t="shared" si="11"/>
        <v>69</v>
      </c>
    </row>
    <row r="25" ht="15" customHeight="1" spans="1:19">
      <c r="A25" s="22">
        <v>19</v>
      </c>
      <c r="B25" s="16">
        <v>374063.285</v>
      </c>
      <c r="C25" s="16">
        <v>3338024.704</v>
      </c>
      <c r="D25" s="29">
        <f t="shared" si="8"/>
        <v>84</v>
      </c>
      <c r="E25" s="20">
        <f t="shared" si="2"/>
        <v>36</v>
      </c>
      <c r="F25" s="28">
        <f t="shared" si="0"/>
        <v>35.9219999999623</v>
      </c>
      <c r="G25" s="28">
        <f t="shared" si="0"/>
        <v>3.66500000003725</v>
      </c>
      <c r="H25" s="20">
        <f t="shared" si="3"/>
        <v>36.11</v>
      </c>
      <c r="I25" s="20">
        <f t="shared" si="9"/>
        <v>1049.49</v>
      </c>
      <c r="J25" s="23">
        <v>73</v>
      </c>
      <c r="K25" s="28">
        <f t="shared" si="1"/>
        <v>5</v>
      </c>
      <c r="L25" s="28">
        <f t="shared" si="4"/>
        <v>5.01</v>
      </c>
      <c r="M25" s="32">
        <f>SUM(K$7:K25)</f>
        <v>6</v>
      </c>
      <c r="N25" s="28">
        <f>ROUND(SUM(L$7:L25),2)</f>
        <v>5.1</v>
      </c>
      <c r="O25" s="28">
        <f t="shared" si="5"/>
        <v>7.88337883256073</v>
      </c>
      <c r="P25" s="32">
        <f t="shared" si="10"/>
        <v>8</v>
      </c>
      <c r="Q25" s="33">
        <f t="shared" si="6"/>
        <v>0.9903</v>
      </c>
      <c r="R25" s="28">
        <f t="shared" si="7"/>
        <v>36</v>
      </c>
      <c r="S25" s="32">
        <f t="shared" si="11"/>
        <v>69</v>
      </c>
    </row>
  </sheetData>
  <mergeCells count="2">
    <mergeCell ref="A1:S1"/>
    <mergeCell ref="R2:S2"/>
  </mergeCells>
  <pageMargins left="0.708661417322835" right="0.236220472440945" top="0.669291338582677" bottom="0.748031496062992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S24" sqref="S24"/>
    </sheetView>
  </sheetViews>
  <sheetFormatPr defaultColWidth="9" defaultRowHeight="13.5"/>
  <cols>
    <col min="1" max="1" width="7.275" customWidth="1"/>
    <col min="2" max="2" width="9.81666666666667" customWidth="1"/>
    <col min="3" max="3" width="10.725" customWidth="1"/>
    <col min="4" max="4" width="7.45833333333333" customWidth="1"/>
    <col min="5" max="5" width="13.1833333333333" customWidth="1"/>
    <col min="6" max="7" width="7.36666666666667" customWidth="1"/>
    <col min="8" max="8" width="6.54166666666667" customWidth="1"/>
    <col min="9" max="9" width="8.725" customWidth="1"/>
    <col min="10" max="10" width="7.36666666666667" customWidth="1"/>
    <col min="11" max="11" width="6.275" customWidth="1"/>
    <col min="12" max="12" width="11.725" customWidth="1"/>
    <col min="13" max="13" width="8.275" customWidth="1"/>
  </cols>
  <sheetData>
    <row r="1" ht="21.75" customHeight="1" spans="1:13">
      <c r="A1" s="10" t="s">
        <v>147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ht="24.75" customHeight="1" spans="1:13">
      <c r="A2" s="12" t="s">
        <v>43</v>
      </c>
      <c r="B2" s="13" t="s">
        <v>44</v>
      </c>
      <c r="C2" s="13" t="s">
        <v>45</v>
      </c>
      <c r="D2" s="14" t="s">
        <v>3</v>
      </c>
      <c r="E2" s="14" t="s">
        <v>148</v>
      </c>
      <c r="F2" s="14" t="s">
        <v>139</v>
      </c>
      <c r="G2" s="14" t="s">
        <v>143</v>
      </c>
      <c r="H2" s="14" t="s">
        <v>51</v>
      </c>
      <c r="I2" s="14" t="s">
        <v>149</v>
      </c>
      <c r="J2" s="14" t="s">
        <v>140</v>
      </c>
      <c r="K2" s="14" t="s">
        <v>141</v>
      </c>
      <c r="L2" s="27" t="s">
        <v>150</v>
      </c>
      <c r="M2" s="14" t="s">
        <v>142</v>
      </c>
    </row>
    <row r="3" ht="15" customHeight="1" spans="1:13">
      <c r="A3" s="15">
        <v>100</v>
      </c>
      <c r="B3" s="16">
        <v>373114.538</v>
      </c>
      <c r="C3" s="16">
        <v>3337660.534</v>
      </c>
      <c r="D3" s="17">
        <v>93.5</v>
      </c>
      <c r="E3" s="18">
        <v>69</v>
      </c>
      <c r="F3" s="15"/>
      <c r="G3" s="15"/>
      <c r="H3" s="15"/>
      <c r="I3" s="15"/>
      <c r="J3" s="20"/>
      <c r="K3" s="15"/>
      <c r="L3" s="20"/>
      <c r="M3" s="15"/>
    </row>
    <row r="4" ht="15" customHeight="1" spans="1:13">
      <c r="A4" s="15">
        <v>109</v>
      </c>
      <c r="B4" s="16">
        <v>374063.285</v>
      </c>
      <c r="C4" s="16">
        <v>3338024.704</v>
      </c>
      <c r="D4" s="17">
        <v>160.5</v>
      </c>
      <c r="E4" s="19"/>
      <c r="F4" s="15"/>
      <c r="G4" s="15"/>
      <c r="H4" s="20"/>
      <c r="I4" s="20"/>
      <c r="J4" s="20">
        <f>L25</f>
        <v>1041.15441569342</v>
      </c>
      <c r="K4" s="20">
        <f>M25</f>
        <v>46.0710761633552</v>
      </c>
      <c r="L4" s="20"/>
      <c r="M4" s="15"/>
    </row>
    <row r="5" ht="15" customHeight="1" spans="1:13">
      <c r="A5" s="15"/>
      <c r="B5" s="21"/>
      <c r="C5" s="21"/>
      <c r="D5" s="20"/>
      <c r="E5" s="20"/>
      <c r="F5" s="15"/>
      <c r="G5" s="15"/>
      <c r="H5" s="20"/>
      <c r="I5" s="20"/>
      <c r="J5" s="20"/>
      <c r="K5" s="20"/>
      <c r="L5" s="20"/>
      <c r="M5" s="15"/>
    </row>
    <row r="6" ht="15" customHeight="1" spans="1:13">
      <c r="A6" s="22">
        <v>0</v>
      </c>
      <c r="B6" s="16">
        <v>373114.538</v>
      </c>
      <c r="C6" s="16">
        <v>3337660.534</v>
      </c>
      <c r="D6" s="23">
        <v>67</v>
      </c>
      <c r="E6" s="23">
        <f>$E$3</f>
        <v>69</v>
      </c>
      <c r="F6" s="15" t="s">
        <v>151</v>
      </c>
      <c r="G6" s="15" t="s">
        <v>151</v>
      </c>
      <c r="H6" s="20" t="s">
        <v>151</v>
      </c>
      <c r="I6" s="20"/>
      <c r="J6" s="20" t="s">
        <v>151</v>
      </c>
      <c r="K6" s="20">
        <v>0</v>
      </c>
      <c r="L6" s="20">
        <v>0</v>
      </c>
      <c r="M6" s="15"/>
    </row>
    <row r="7" ht="15" customHeight="1" spans="1:13">
      <c r="A7" s="22">
        <v>1</v>
      </c>
      <c r="B7" s="16">
        <v>373188.635</v>
      </c>
      <c r="C7" s="16">
        <v>3337724.388</v>
      </c>
      <c r="D7" s="23">
        <v>74</v>
      </c>
      <c r="E7" s="23">
        <f t="shared" ref="E7:E16" si="0">$E$3</f>
        <v>69</v>
      </c>
      <c r="F7" s="24">
        <v>49</v>
      </c>
      <c r="G7" s="25">
        <v>-12</v>
      </c>
      <c r="H7" s="26">
        <v>100</v>
      </c>
      <c r="I7" s="26">
        <f>SUM(H$7:H7)</f>
        <v>100</v>
      </c>
      <c r="J7" s="20">
        <f>H7*COS(RADIANS(G7))</f>
        <v>97.8147600733806</v>
      </c>
      <c r="K7" s="28">
        <f>H7*SIN(RADIANS(G7))</f>
        <v>-20.7911690817759</v>
      </c>
      <c r="L7" s="20">
        <f>J7+L6</f>
        <v>97.8147600733806</v>
      </c>
      <c r="M7" s="28">
        <f>K7+K6</f>
        <v>-20.7911690817759</v>
      </c>
    </row>
    <row r="8" ht="15" customHeight="1" spans="1:13">
      <c r="A8" s="22">
        <v>2</v>
      </c>
      <c r="B8" s="16">
        <v>373244.122</v>
      </c>
      <c r="C8" s="16">
        <v>3337753.846</v>
      </c>
      <c r="D8" s="23">
        <v>82</v>
      </c>
      <c r="E8" s="23">
        <f t="shared" si="0"/>
        <v>69</v>
      </c>
      <c r="F8" s="24">
        <v>62</v>
      </c>
      <c r="G8" s="25">
        <v>-3</v>
      </c>
      <c r="H8" s="26">
        <v>63</v>
      </c>
      <c r="I8" s="26">
        <f>SUM(H$7:H8)</f>
        <v>163</v>
      </c>
      <c r="J8" s="20">
        <f t="shared" ref="J8:J25" si="1">H8*COS(RADIANS(G8))</f>
        <v>62.9136606895382</v>
      </c>
      <c r="K8" s="28">
        <f t="shared" ref="K8:K25" si="2">H8*SIN(RADIANS(G8))</f>
        <v>-3.29716524330546</v>
      </c>
      <c r="L8" s="20">
        <f t="shared" ref="L8:L25" si="3">J8+L7</f>
        <v>160.728420762919</v>
      </c>
      <c r="M8" s="28">
        <f>SUM(K$7:K8)</f>
        <v>-24.0883343250814</v>
      </c>
    </row>
    <row r="9" ht="15" customHeight="1" spans="1:13">
      <c r="A9" s="22">
        <v>3</v>
      </c>
      <c r="B9" s="16">
        <v>373306.719</v>
      </c>
      <c r="C9" s="16">
        <v>3337776.828</v>
      </c>
      <c r="D9" s="23">
        <v>106</v>
      </c>
      <c r="E9" s="23">
        <f t="shared" si="0"/>
        <v>69</v>
      </c>
      <c r="F9" s="24">
        <v>70</v>
      </c>
      <c r="G9" s="25">
        <v>2</v>
      </c>
      <c r="H9" s="26">
        <v>66.5</v>
      </c>
      <c r="I9" s="26">
        <f>SUM(H$7:H9)</f>
        <v>229.5</v>
      </c>
      <c r="J9" s="20">
        <f t="shared" si="1"/>
        <v>66.4594899967699</v>
      </c>
      <c r="K9" s="28">
        <f t="shared" si="2"/>
        <v>2.32081653071631</v>
      </c>
      <c r="L9" s="20">
        <f t="shared" si="3"/>
        <v>227.187910759689</v>
      </c>
      <c r="M9" s="28">
        <f>SUM(K$7:K9)</f>
        <v>-21.7675177943651</v>
      </c>
    </row>
    <row r="10" ht="15" customHeight="1" spans="1:13">
      <c r="A10" s="22">
        <v>4</v>
      </c>
      <c r="B10" s="16">
        <v>373333.289</v>
      </c>
      <c r="C10" s="16">
        <v>3337802.372</v>
      </c>
      <c r="D10" s="23">
        <v>107</v>
      </c>
      <c r="E10" s="23">
        <f t="shared" si="0"/>
        <v>69</v>
      </c>
      <c r="F10" s="24">
        <v>46</v>
      </c>
      <c r="G10" s="25">
        <v>0</v>
      </c>
      <c r="H10" s="26">
        <v>36</v>
      </c>
      <c r="I10" s="26">
        <f>SUM(H$7:H10)</f>
        <v>265.5</v>
      </c>
      <c r="J10" s="20">
        <f t="shared" si="1"/>
        <v>36</v>
      </c>
      <c r="K10" s="28">
        <f t="shared" si="2"/>
        <v>0</v>
      </c>
      <c r="L10" s="20">
        <f t="shared" si="3"/>
        <v>263.187910759689</v>
      </c>
      <c r="M10" s="28">
        <f>SUM(K$7:K10)</f>
        <v>-21.7675177943651</v>
      </c>
    </row>
    <row r="11" ht="15" customHeight="1" spans="1:13">
      <c r="A11" s="22">
        <v>5</v>
      </c>
      <c r="B11" s="16">
        <v>373382.841</v>
      </c>
      <c r="C11" s="16">
        <v>3337808.362</v>
      </c>
      <c r="D11" s="23">
        <v>95</v>
      </c>
      <c r="E11" s="23">
        <f t="shared" si="0"/>
        <v>69</v>
      </c>
      <c r="F11" s="24">
        <v>83</v>
      </c>
      <c r="G11" s="25">
        <v>-3</v>
      </c>
      <c r="H11" s="26">
        <v>50</v>
      </c>
      <c r="I11" s="26">
        <f>SUM(H$7:H11)</f>
        <v>315.5</v>
      </c>
      <c r="J11" s="20">
        <f t="shared" si="1"/>
        <v>49.9314767377287</v>
      </c>
      <c r="K11" s="28">
        <f t="shared" si="2"/>
        <v>-2.61679781214719</v>
      </c>
      <c r="L11" s="20">
        <f t="shared" si="3"/>
        <v>313.119387497417</v>
      </c>
      <c r="M11" s="28">
        <f>SUM(K$7:K11)</f>
        <v>-24.3843156065123</v>
      </c>
    </row>
    <row r="12" ht="15" customHeight="1" spans="1:13">
      <c r="A12" s="22">
        <v>6</v>
      </c>
      <c r="B12" s="16">
        <v>373424.675</v>
      </c>
      <c r="C12" s="16">
        <v>3337836.758</v>
      </c>
      <c r="D12" s="23">
        <v>95</v>
      </c>
      <c r="E12" s="23">
        <f t="shared" si="0"/>
        <v>69</v>
      </c>
      <c r="F12" s="24">
        <v>56</v>
      </c>
      <c r="G12" s="25">
        <v>12</v>
      </c>
      <c r="H12" s="26">
        <v>53</v>
      </c>
      <c r="I12" s="26">
        <f>SUM(H$7:H12)</f>
        <v>368.5</v>
      </c>
      <c r="J12" s="20">
        <f t="shared" si="1"/>
        <v>51.8418228388917</v>
      </c>
      <c r="K12" s="28">
        <f t="shared" si="2"/>
        <v>11.0193196133412</v>
      </c>
      <c r="L12" s="20">
        <f t="shared" si="3"/>
        <v>364.961210336309</v>
      </c>
      <c r="M12" s="28">
        <f>SUM(K$7:K12)</f>
        <v>-13.364995993171</v>
      </c>
    </row>
    <row r="13" ht="15" customHeight="1" spans="1:13">
      <c r="A13" s="22">
        <v>7</v>
      </c>
      <c r="B13" s="16">
        <v>373492.305</v>
      </c>
      <c r="C13" s="16">
        <v>3337854.005</v>
      </c>
      <c r="D13" s="23">
        <v>93</v>
      </c>
      <c r="E13" s="23">
        <f t="shared" si="0"/>
        <v>69</v>
      </c>
      <c r="F13" s="24">
        <v>76</v>
      </c>
      <c r="G13" s="25">
        <v>9</v>
      </c>
      <c r="H13" s="26">
        <v>71</v>
      </c>
      <c r="I13" s="26">
        <f>SUM(H$7:H13)</f>
        <v>439.5</v>
      </c>
      <c r="J13" s="20">
        <f t="shared" si="1"/>
        <v>70.1258721822548</v>
      </c>
      <c r="K13" s="28">
        <f t="shared" si="2"/>
        <v>11.1068470178564</v>
      </c>
      <c r="L13" s="20">
        <f t="shared" si="3"/>
        <v>435.087082518564</v>
      </c>
      <c r="M13" s="28">
        <f>SUM(K$7:K13)</f>
        <v>-2.25814897531463</v>
      </c>
    </row>
    <row r="14" ht="15" customHeight="1" spans="1:13">
      <c r="A14" s="22">
        <v>8</v>
      </c>
      <c r="B14" s="16">
        <v>373515.119</v>
      </c>
      <c r="C14" s="16">
        <v>3337874.274</v>
      </c>
      <c r="D14" s="23">
        <v>93</v>
      </c>
      <c r="E14" s="23">
        <f t="shared" si="0"/>
        <v>69</v>
      </c>
      <c r="F14" s="24">
        <v>48</v>
      </c>
      <c r="G14" s="25">
        <v>5</v>
      </c>
      <c r="H14" s="26">
        <v>31</v>
      </c>
      <c r="I14" s="26">
        <f>SUM(H$7:H14)</f>
        <v>470.5</v>
      </c>
      <c r="J14" s="20">
        <f t="shared" si="1"/>
        <v>30.8820356408441</v>
      </c>
      <c r="K14" s="28">
        <f t="shared" si="2"/>
        <v>2.7018280251774</v>
      </c>
      <c r="L14" s="20">
        <f t="shared" si="3"/>
        <v>465.969118159408</v>
      </c>
      <c r="M14" s="28">
        <f>SUM(K$7:K14)</f>
        <v>0.44367904986277</v>
      </c>
    </row>
    <row r="15" ht="15" customHeight="1" spans="1:13">
      <c r="A15" s="22">
        <v>9</v>
      </c>
      <c r="B15" s="16">
        <v>373612.318</v>
      </c>
      <c r="C15" s="16">
        <v>3337899.472</v>
      </c>
      <c r="D15" s="23">
        <v>98</v>
      </c>
      <c r="E15" s="23">
        <f t="shared" si="0"/>
        <v>69</v>
      </c>
      <c r="F15" s="24">
        <v>75</v>
      </c>
      <c r="G15" s="25">
        <v>-2</v>
      </c>
      <c r="H15" s="26">
        <v>100</v>
      </c>
      <c r="I15" s="26">
        <f>SUM(H$7:H15)</f>
        <v>570.5</v>
      </c>
      <c r="J15" s="20">
        <f t="shared" si="1"/>
        <v>99.9390827019096</v>
      </c>
      <c r="K15" s="28">
        <f t="shared" si="2"/>
        <v>-3.4899496702501</v>
      </c>
      <c r="L15" s="20">
        <f t="shared" si="3"/>
        <v>565.908200861317</v>
      </c>
      <c r="M15" s="28">
        <f>SUM(K$7:K15)</f>
        <v>-3.04627062038733</v>
      </c>
    </row>
    <row r="16" ht="15" customHeight="1" spans="1:13">
      <c r="A16" s="22">
        <v>10</v>
      </c>
      <c r="B16" s="16">
        <v>373704.907</v>
      </c>
      <c r="C16" s="16">
        <v>3337917.283</v>
      </c>
      <c r="D16" s="23">
        <v>102</v>
      </c>
      <c r="E16" s="23">
        <f t="shared" si="0"/>
        <v>69</v>
      </c>
      <c r="F16" s="24">
        <v>79</v>
      </c>
      <c r="G16" s="25">
        <v>3</v>
      </c>
      <c r="H16" s="26">
        <v>94.5</v>
      </c>
      <c r="I16" s="26">
        <f>SUM(H$7:H16)</f>
        <v>665</v>
      </c>
      <c r="J16" s="20">
        <f t="shared" si="1"/>
        <v>94.3704910343072</v>
      </c>
      <c r="K16" s="28">
        <f t="shared" si="2"/>
        <v>4.94574786495819</v>
      </c>
      <c r="L16" s="20">
        <f t="shared" si="3"/>
        <v>660.278691895625</v>
      </c>
      <c r="M16" s="28">
        <f>SUM(K$7:K16)</f>
        <v>1.89947724457087</v>
      </c>
    </row>
    <row r="17" ht="15" customHeight="1" spans="1:13">
      <c r="A17" s="22">
        <v>11</v>
      </c>
      <c r="B17" s="16">
        <v>373781.068</v>
      </c>
      <c r="C17" s="16">
        <v>3337972.453</v>
      </c>
      <c r="D17" s="23">
        <v>98</v>
      </c>
      <c r="E17" s="23">
        <f t="shared" ref="E17:E25" si="4">$E$3</f>
        <v>69</v>
      </c>
      <c r="F17" s="24">
        <v>54</v>
      </c>
      <c r="G17" s="25">
        <v>-7</v>
      </c>
      <c r="H17" s="26">
        <v>94.5</v>
      </c>
      <c r="I17" s="26">
        <f>SUM(H$7:H17)</f>
        <v>759.5</v>
      </c>
      <c r="J17" s="20">
        <f t="shared" si="1"/>
        <v>93.7956113301049</v>
      </c>
      <c r="K17" s="28">
        <f t="shared" si="2"/>
        <v>-11.5166529517864</v>
      </c>
      <c r="L17" s="20">
        <f t="shared" si="3"/>
        <v>754.07430322573</v>
      </c>
      <c r="M17" s="28">
        <f>SUM(K$7:K17)</f>
        <v>-9.61717570721557</v>
      </c>
    </row>
    <row r="18" ht="15" customHeight="1" spans="1:13">
      <c r="A18" s="22">
        <v>12</v>
      </c>
      <c r="B18" s="16">
        <v>373864.769</v>
      </c>
      <c r="C18" s="16">
        <v>3337997.291</v>
      </c>
      <c r="D18" s="23">
        <v>88</v>
      </c>
      <c r="E18" s="23">
        <f t="shared" si="4"/>
        <v>69</v>
      </c>
      <c r="F18" s="24">
        <v>73</v>
      </c>
      <c r="G18" s="25">
        <v>-2</v>
      </c>
      <c r="H18" s="26">
        <v>87.5</v>
      </c>
      <c r="I18" s="26">
        <f>SUM(H$7:H18)</f>
        <v>847</v>
      </c>
      <c r="J18" s="20">
        <f t="shared" si="1"/>
        <v>87.4466973641709</v>
      </c>
      <c r="K18" s="28">
        <f t="shared" si="2"/>
        <v>-3.05370596146883</v>
      </c>
      <c r="L18" s="20">
        <f t="shared" si="3"/>
        <v>841.5210005899</v>
      </c>
      <c r="M18" s="28">
        <f>SUM(K$7:K18)</f>
        <v>-12.6708816686844</v>
      </c>
    </row>
    <row r="19" ht="15" customHeight="1" spans="1:13">
      <c r="A19" s="22">
        <v>13</v>
      </c>
      <c r="B19" s="16">
        <v>373898.519</v>
      </c>
      <c r="C19" s="16">
        <v>3338004.887</v>
      </c>
      <c r="D19" s="23">
        <v>74</v>
      </c>
      <c r="E19" s="23">
        <f t="shared" si="4"/>
        <v>69</v>
      </c>
      <c r="F19" s="24">
        <v>77</v>
      </c>
      <c r="G19" s="25">
        <v>16</v>
      </c>
      <c r="H19" s="26">
        <v>36</v>
      </c>
      <c r="I19" s="26">
        <f>SUM(H$7:H19)</f>
        <v>883</v>
      </c>
      <c r="J19" s="20">
        <f t="shared" si="1"/>
        <v>34.6054210537795</v>
      </c>
      <c r="K19" s="28">
        <f t="shared" si="2"/>
        <v>9.92294480941197</v>
      </c>
      <c r="L19" s="20">
        <f t="shared" si="3"/>
        <v>876.12642164368</v>
      </c>
      <c r="M19" s="28">
        <f>SUM(K$7:K19)</f>
        <v>-2.74793685927244</v>
      </c>
    </row>
    <row r="20" ht="15" customHeight="1" spans="1:13">
      <c r="A20" s="22">
        <v>14</v>
      </c>
      <c r="B20" s="16">
        <v>373945.926</v>
      </c>
      <c r="C20" s="16">
        <v>3337994.788</v>
      </c>
      <c r="D20" s="23">
        <v>72</v>
      </c>
      <c r="E20" s="23">
        <f t="shared" si="4"/>
        <v>69</v>
      </c>
      <c r="F20" s="24">
        <v>102</v>
      </c>
      <c r="G20" s="25">
        <v>24</v>
      </c>
      <c r="H20" s="26">
        <v>53</v>
      </c>
      <c r="I20" s="26">
        <f>SUM(H$7:H20)</f>
        <v>936</v>
      </c>
      <c r="J20" s="20">
        <f t="shared" si="1"/>
        <v>48.4179092550578</v>
      </c>
      <c r="K20" s="28">
        <f t="shared" si="2"/>
        <v>21.5570420830174</v>
      </c>
      <c r="L20" s="20">
        <f t="shared" si="3"/>
        <v>924.544330898738</v>
      </c>
      <c r="M20" s="28">
        <f>SUM(K$7:K20)</f>
        <v>18.809105223745</v>
      </c>
    </row>
    <row r="21" ht="15" customHeight="1" spans="1:13">
      <c r="A21" s="22">
        <v>15</v>
      </c>
      <c r="B21" s="16">
        <v>373971.247</v>
      </c>
      <c r="C21" s="16">
        <v>3338015.307</v>
      </c>
      <c r="D21" s="23">
        <v>70</v>
      </c>
      <c r="E21" s="23">
        <f t="shared" si="4"/>
        <v>69</v>
      </c>
      <c r="F21" s="24">
        <v>51</v>
      </c>
      <c r="G21" s="25">
        <v>25</v>
      </c>
      <c r="H21" s="26">
        <v>36</v>
      </c>
      <c r="I21" s="26">
        <f>SUM(H$7:H21)</f>
        <v>972</v>
      </c>
      <c r="J21" s="20">
        <f t="shared" si="1"/>
        <v>32.6270803333194</v>
      </c>
      <c r="K21" s="28">
        <f t="shared" si="2"/>
        <v>15.2142574226652</v>
      </c>
      <c r="L21" s="20">
        <f t="shared" si="3"/>
        <v>957.171411232057</v>
      </c>
      <c r="M21" s="28">
        <f>SUM(K$7:K21)</f>
        <v>34.0233626464102</v>
      </c>
    </row>
    <row r="22" ht="15" customHeight="1" spans="1:13">
      <c r="A22" s="22">
        <v>16</v>
      </c>
      <c r="B22" s="16">
        <v>373984.188</v>
      </c>
      <c r="C22" s="16">
        <v>3338019.206</v>
      </c>
      <c r="D22" s="23">
        <v>68</v>
      </c>
      <c r="E22" s="23">
        <f t="shared" si="4"/>
        <v>69</v>
      </c>
      <c r="F22" s="24">
        <v>73</v>
      </c>
      <c r="G22" s="25">
        <v>17</v>
      </c>
      <c r="H22" s="26">
        <v>6</v>
      </c>
      <c r="I22" s="26">
        <f>SUM(H$7:H22)</f>
        <v>978</v>
      </c>
      <c r="J22" s="20">
        <f t="shared" si="1"/>
        <v>5.73782853577821</v>
      </c>
      <c r="K22" s="28">
        <f t="shared" si="2"/>
        <v>1.75423022833642</v>
      </c>
      <c r="L22" s="20">
        <f t="shared" si="3"/>
        <v>962.909239767836</v>
      </c>
      <c r="M22" s="28">
        <f>SUM(K$7:K22)</f>
        <v>35.7775928747466</v>
      </c>
    </row>
    <row r="23" ht="15" customHeight="1" spans="1:13">
      <c r="A23" s="22">
        <v>17</v>
      </c>
      <c r="B23" s="16">
        <v>374002.168</v>
      </c>
      <c r="C23" s="16">
        <v>3338019.905</v>
      </c>
      <c r="D23" s="23">
        <v>68</v>
      </c>
      <c r="E23" s="23">
        <f t="shared" si="4"/>
        <v>69</v>
      </c>
      <c r="F23" s="24">
        <v>88</v>
      </c>
      <c r="G23" s="25">
        <v>3</v>
      </c>
      <c r="H23" s="26">
        <v>18</v>
      </c>
      <c r="I23" s="26">
        <f>SUM(H$7:H23)</f>
        <v>996</v>
      </c>
      <c r="J23" s="20">
        <f t="shared" si="1"/>
        <v>17.9753316255823</v>
      </c>
      <c r="K23" s="28">
        <f t="shared" si="2"/>
        <v>0.942047212372989</v>
      </c>
      <c r="L23" s="20">
        <f t="shared" si="3"/>
        <v>980.884571393418</v>
      </c>
      <c r="M23" s="28">
        <f>SUM(K$7:K23)</f>
        <v>36.7196400871196</v>
      </c>
    </row>
    <row r="24" ht="15" customHeight="1" spans="1:13">
      <c r="A24" s="22">
        <v>18</v>
      </c>
      <c r="B24" s="16">
        <v>374027.363</v>
      </c>
      <c r="C24" s="16">
        <v>3338021.039</v>
      </c>
      <c r="D24" s="23">
        <v>68</v>
      </c>
      <c r="E24" s="23">
        <f t="shared" si="4"/>
        <v>69</v>
      </c>
      <c r="F24" s="24">
        <v>87</v>
      </c>
      <c r="G24" s="25">
        <v>10</v>
      </c>
      <c r="H24" s="26">
        <v>25</v>
      </c>
      <c r="I24" s="26">
        <f>SUM(H$7:H24)</f>
        <v>1021</v>
      </c>
      <c r="J24" s="20">
        <f t="shared" si="1"/>
        <v>24.6201938253052</v>
      </c>
      <c r="K24" s="28">
        <f t="shared" si="2"/>
        <v>4.34120444167326</v>
      </c>
      <c r="L24" s="20">
        <f t="shared" si="3"/>
        <v>1005.50476521872</v>
      </c>
      <c r="M24" s="28">
        <f>SUM(K$7:K24)</f>
        <v>41.0608445287928</v>
      </c>
    </row>
    <row r="25" ht="15" customHeight="1" spans="1:13">
      <c r="A25" s="22">
        <v>19</v>
      </c>
      <c r="B25" s="16">
        <v>374063.285</v>
      </c>
      <c r="C25" s="16">
        <v>3338024.704</v>
      </c>
      <c r="D25" s="23">
        <v>73</v>
      </c>
      <c r="E25" s="23">
        <f t="shared" si="4"/>
        <v>69</v>
      </c>
      <c r="F25" s="24">
        <v>84</v>
      </c>
      <c r="G25" s="25">
        <v>8</v>
      </c>
      <c r="H25" s="26">
        <v>36</v>
      </c>
      <c r="I25" s="26">
        <f>SUM(H$7:H25)</f>
        <v>1057</v>
      </c>
      <c r="J25" s="20">
        <f t="shared" si="1"/>
        <v>35.6496504746965</v>
      </c>
      <c r="K25" s="28">
        <f t="shared" si="2"/>
        <v>5.01023163456236</v>
      </c>
      <c r="L25" s="20">
        <f t="shared" si="3"/>
        <v>1041.15441569342</v>
      </c>
      <c r="M25" s="28">
        <f>SUM(K$7:K25)</f>
        <v>46.0710761633552</v>
      </c>
    </row>
  </sheetData>
  <mergeCells count="2">
    <mergeCell ref="A1:M1"/>
    <mergeCell ref="E3:E4"/>
  </mergeCells>
  <pageMargins left="0.708661417322835" right="0.236220472440945" top="0.669291338582677" bottom="0.748031496062992" header="0.31496062992126" footer="0.3149606299212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7"/>
  <sheetViews>
    <sheetView topLeftCell="H1" workbookViewId="0">
      <selection activeCell="N90" sqref="N90"/>
    </sheetView>
  </sheetViews>
  <sheetFormatPr defaultColWidth="9" defaultRowHeight="13.5"/>
  <cols>
    <col min="1" max="2" width="3.33333333333333" customWidth="1"/>
    <col min="8" max="8" width="12.6666666666667"/>
    <col min="9" max="9" width="13.2166666666667" customWidth="1"/>
    <col min="14" max="14" width="12.6666666666667"/>
    <col min="16" max="16" width="12.6666666666667"/>
    <col min="17" max="17" width="15.2166666666667" customWidth="1"/>
    <col min="18" max="18" width="11.4416666666667"/>
    <col min="19" max="19" width="10.3333333333333"/>
  </cols>
  <sheetData>
    <row r="1" ht="14.25" spans="1:23">
      <c r="A1" s="1" t="s">
        <v>43</v>
      </c>
      <c r="B1" s="1"/>
      <c r="C1" t="s">
        <v>152</v>
      </c>
      <c r="D1" t="s">
        <v>51</v>
      </c>
      <c r="E1" t="s">
        <v>50</v>
      </c>
      <c r="H1" s="2" t="s">
        <v>45</v>
      </c>
      <c r="I1" s="2" t="s">
        <v>44</v>
      </c>
      <c r="J1" s="2" t="s">
        <v>51</v>
      </c>
      <c r="K1" s="2" t="s">
        <v>50</v>
      </c>
      <c r="L1" s="2" t="s">
        <v>152</v>
      </c>
      <c r="M1" s="2" t="s">
        <v>140</v>
      </c>
      <c r="N1" s="5" t="s">
        <v>60</v>
      </c>
      <c r="O1" s="2" t="s">
        <v>153</v>
      </c>
      <c r="P1" s="5" t="s">
        <v>59</v>
      </c>
      <c r="Q1" s="2" t="s">
        <v>154</v>
      </c>
      <c r="R1" s="2"/>
      <c r="S1" s="5" t="s">
        <v>155</v>
      </c>
      <c r="W1" t="s">
        <v>51</v>
      </c>
    </row>
    <row r="2" ht="14.25" spans="8:19">
      <c r="H2" s="3"/>
      <c r="I2" s="3"/>
      <c r="J2" s="2"/>
      <c r="K2" s="2"/>
      <c r="L2" s="2"/>
      <c r="M2" s="2"/>
      <c r="N2" s="2"/>
      <c r="O2" s="6"/>
      <c r="P2" s="2"/>
      <c r="Q2" s="6"/>
      <c r="R2" s="2"/>
      <c r="S2" s="7"/>
    </row>
    <row r="3" ht="14.25" spans="1:23">
      <c r="A3">
        <v>0</v>
      </c>
      <c r="B3">
        <v>1</v>
      </c>
      <c r="C3">
        <v>58</v>
      </c>
      <c r="D3">
        <v>40</v>
      </c>
      <c r="E3">
        <v>-28</v>
      </c>
      <c r="G3">
        <v>0</v>
      </c>
      <c r="H3">
        <v>610593</v>
      </c>
      <c r="I3">
        <v>3415278</v>
      </c>
      <c r="J3" s="2">
        <v>41</v>
      </c>
      <c r="K3" s="2">
        <v>-29</v>
      </c>
      <c r="L3" s="2">
        <v>58</v>
      </c>
      <c r="M3" s="2">
        <f t="shared" ref="M3:M17" si="0">J3*ROUND(COS(RADIANS(K3)),4)</f>
        <v>35.8586</v>
      </c>
      <c r="N3" s="2">
        <f>M3*ROUND(SIN(RADIANS(L3)),4)</f>
        <v>30.4080928</v>
      </c>
      <c r="O3" s="6">
        <f t="shared" ref="O3:O17" si="1">H3+N3</f>
        <v>610623.4080928</v>
      </c>
      <c r="P3" s="2">
        <f>M3*ROUND(COS(RADIANS(L3)),4)</f>
        <v>19.00147214</v>
      </c>
      <c r="Q3" s="6">
        <f t="shared" ref="Q3:Q17" si="2">I3+P3</f>
        <v>3415297.00147214</v>
      </c>
      <c r="R3" s="2">
        <f t="shared" ref="R3:R17" si="3">J3*ROUND(SIN(RADIANS(K3)),6)</f>
        <v>-19.87721</v>
      </c>
      <c r="S3" s="8">
        <v>126</v>
      </c>
      <c r="T3">
        <v>0</v>
      </c>
      <c r="U3">
        <v>1</v>
      </c>
      <c r="W3">
        <v>41</v>
      </c>
    </row>
    <row r="4" ht="14.25" spans="1:23">
      <c r="A4">
        <v>1</v>
      </c>
      <c r="B4">
        <v>2</v>
      </c>
      <c r="C4">
        <v>65</v>
      </c>
      <c r="D4">
        <v>33</v>
      </c>
      <c r="E4">
        <v>-18</v>
      </c>
      <c r="G4">
        <v>1</v>
      </c>
      <c r="H4" s="4">
        <v>610623</v>
      </c>
      <c r="I4" s="4">
        <v>3415297</v>
      </c>
      <c r="J4" s="2">
        <v>37</v>
      </c>
      <c r="K4" s="2">
        <v>-16</v>
      </c>
      <c r="L4" s="2">
        <v>65</v>
      </c>
      <c r="M4" s="2">
        <f t="shared" si="0"/>
        <v>35.5681</v>
      </c>
      <c r="N4" s="2">
        <f t="shared" ref="N4:N17" si="4">M4*ROUND(SIN(RADIANS(L4)),2)</f>
        <v>32.366971</v>
      </c>
      <c r="O4" s="6">
        <f t="shared" si="1"/>
        <v>610655.366971</v>
      </c>
      <c r="P4" s="2">
        <f t="shared" ref="P4:P17" si="5">M4*ROUND(COS(RADIANS(L4)),2)</f>
        <v>14.938602</v>
      </c>
      <c r="Q4" s="6">
        <f t="shared" si="2"/>
        <v>3415311.938602</v>
      </c>
      <c r="R4" s="2">
        <f t="shared" si="3"/>
        <v>-10.198569</v>
      </c>
      <c r="S4" s="9">
        <f>S3+R3</f>
        <v>106.12279</v>
      </c>
      <c r="T4">
        <v>1</v>
      </c>
      <c r="U4">
        <v>2</v>
      </c>
      <c r="W4">
        <v>37</v>
      </c>
    </row>
    <row r="5" ht="14.25" spans="1:23">
      <c r="A5">
        <v>2</v>
      </c>
      <c r="B5">
        <v>3</v>
      </c>
      <c r="C5">
        <v>63</v>
      </c>
      <c r="D5">
        <v>12</v>
      </c>
      <c r="E5">
        <v>2</v>
      </c>
      <c r="G5">
        <v>2</v>
      </c>
      <c r="H5" s="4">
        <f>O4</f>
        <v>610655.366971</v>
      </c>
      <c r="I5" s="4">
        <f>Q4</f>
        <v>3415311.938602</v>
      </c>
      <c r="J5" s="2">
        <v>10</v>
      </c>
      <c r="K5" s="2">
        <v>0</v>
      </c>
      <c r="L5" s="2">
        <v>45</v>
      </c>
      <c r="M5" s="2">
        <f t="shared" si="0"/>
        <v>10</v>
      </c>
      <c r="N5" s="2">
        <f t="shared" si="4"/>
        <v>7.1</v>
      </c>
      <c r="O5" s="6">
        <f t="shared" si="1"/>
        <v>610662.466971</v>
      </c>
      <c r="P5" s="2">
        <f t="shared" si="5"/>
        <v>7.1</v>
      </c>
      <c r="Q5" s="6">
        <f t="shared" si="2"/>
        <v>3415319.038602</v>
      </c>
      <c r="R5" s="2">
        <f t="shared" si="3"/>
        <v>0</v>
      </c>
      <c r="S5" s="9">
        <f t="shared" ref="S5:S36" si="6">S4+R4</f>
        <v>95.924221</v>
      </c>
      <c r="T5">
        <v>2</v>
      </c>
      <c r="U5">
        <v>3</v>
      </c>
      <c r="W5">
        <v>10</v>
      </c>
    </row>
    <row r="6" ht="14.25" spans="1:23">
      <c r="A6">
        <v>3</v>
      </c>
      <c r="B6">
        <v>4</v>
      </c>
      <c r="C6">
        <v>68</v>
      </c>
      <c r="D6">
        <v>53</v>
      </c>
      <c r="E6">
        <v>-11</v>
      </c>
      <c r="G6">
        <v>3</v>
      </c>
      <c r="H6" s="4">
        <v>610662</v>
      </c>
      <c r="I6" s="4">
        <v>3415319</v>
      </c>
      <c r="J6" s="2">
        <v>54</v>
      </c>
      <c r="K6" s="2">
        <v>-11</v>
      </c>
      <c r="L6" s="2">
        <v>69</v>
      </c>
      <c r="M6" s="2">
        <f t="shared" si="0"/>
        <v>53.0064</v>
      </c>
      <c r="N6" s="2">
        <f t="shared" si="4"/>
        <v>49.295952</v>
      </c>
      <c r="O6" s="6">
        <f t="shared" si="1"/>
        <v>610711.295952</v>
      </c>
      <c r="P6" s="2">
        <f t="shared" si="5"/>
        <v>19.082304</v>
      </c>
      <c r="Q6" s="6">
        <f t="shared" si="2"/>
        <v>3415338.082304</v>
      </c>
      <c r="R6" s="2">
        <f t="shared" si="3"/>
        <v>-10.303686</v>
      </c>
      <c r="S6" s="9">
        <f t="shared" si="6"/>
        <v>95.924221</v>
      </c>
      <c r="T6">
        <v>3</v>
      </c>
      <c r="U6">
        <v>4</v>
      </c>
      <c r="W6">
        <v>54</v>
      </c>
    </row>
    <row r="7" ht="14.25" spans="1:23">
      <c r="A7">
        <v>4</v>
      </c>
      <c r="B7">
        <v>5</v>
      </c>
      <c r="C7">
        <v>50</v>
      </c>
      <c r="D7">
        <v>74</v>
      </c>
      <c r="E7">
        <v>-6</v>
      </c>
      <c r="G7">
        <v>4</v>
      </c>
      <c r="H7" s="4">
        <v>610711</v>
      </c>
      <c r="I7" s="4">
        <v>3415338</v>
      </c>
      <c r="J7" s="2">
        <v>74</v>
      </c>
      <c r="K7" s="2">
        <v>-5</v>
      </c>
      <c r="L7" s="2">
        <v>52</v>
      </c>
      <c r="M7" s="2">
        <f t="shared" si="0"/>
        <v>73.7188</v>
      </c>
      <c r="N7" s="2">
        <f t="shared" si="4"/>
        <v>58.237852</v>
      </c>
      <c r="O7" s="6">
        <f t="shared" si="1"/>
        <v>610769.237852</v>
      </c>
      <c r="P7" s="2">
        <f t="shared" si="5"/>
        <v>45.705656</v>
      </c>
      <c r="Q7" s="6">
        <f t="shared" si="2"/>
        <v>3415383.705656</v>
      </c>
      <c r="R7" s="2">
        <f t="shared" si="3"/>
        <v>-6.449544</v>
      </c>
      <c r="S7" s="9">
        <f t="shared" si="6"/>
        <v>85.620535</v>
      </c>
      <c r="T7">
        <v>4</v>
      </c>
      <c r="U7">
        <v>5</v>
      </c>
      <c r="W7">
        <v>74</v>
      </c>
    </row>
    <row r="8" ht="14.25" spans="1:23">
      <c r="A8">
        <v>5</v>
      </c>
      <c r="B8">
        <v>6</v>
      </c>
      <c r="C8">
        <v>63</v>
      </c>
      <c r="D8">
        <v>100</v>
      </c>
      <c r="E8">
        <v>4</v>
      </c>
      <c r="G8">
        <v>5</v>
      </c>
      <c r="H8" s="4">
        <v>610769</v>
      </c>
      <c r="I8" s="4">
        <v>3415384</v>
      </c>
      <c r="J8" s="2">
        <v>100</v>
      </c>
      <c r="K8" s="2">
        <v>4</v>
      </c>
      <c r="L8" s="2">
        <v>64</v>
      </c>
      <c r="M8" s="2">
        <f t="shared" si="0"/>
        <v>99.76</v>
      </c>
      <c r="N8" s="2">
        <f t="shared" si="4"/>
        <v>89.784</v>
      </c>
      <c r="O8" s="6">
        <f t="shared" si="1"/>
        <v>610858.784</v>
      </c>
      <c r="P8" s="2">
        <f t="shared" si="5"/>
        <v>43.8944</v>
      </c>
      <c r="Q8" s="6">
        <f t="shared" si="2"/>
        <v>3415427.8944</v>
      </c>
      <c r="R8" s="2">
        <f t="shared" si="3"/>
        <v>6.9756</v>
      </c>
      <c r="S8" s="9">
        <f t="shared" si="6"/>
        <v>79.170991</v>
      </c>
      <c r="T8">
        <v>5</v>
      </c>
      <c r="U8">
        <v>6</v>
      </c>
      <c r="W8">
        <v>100</v>
      </c>
    </row>
    <row r="9" ht="14.25" spans="1:23">
      <c r="A9">
        <v>6</v>
      </c>
      <c r="B9">
        <v>7</v>
      </c>
      <c r="C9">
        <v>53</v>
      </c>
      <c r="D9">
        <v>90</v>
      </c>
      <c r="E9">
        <v>8</v>
      </c>
      <c r="G9">
        <v>6</v>
      </c>
      <c r="H9" s="4">
        <f>O8</f>
        <v>610858.784</v>
      </c>
      <c r="I9" s="4">
        <f>Q8</f>
        <v>3415427.8944</v>
      </c>
      <c r="J9" s="2">
        <v>85</v>
      </c>
      <c r="K9" s="2">
        <v>8</v>
      </c>
      <c r="L9" s="2">
        <v>53</v>
      </c>
      <c r="M9" s="2">
        <f t="shared" si="0"/>
        <v>84.1755</v>
      </c>
      <c r="N9" s="2">
        <f t="shared" si="4"/>
        <v>67.3404</v>
      </c>
      <c r="O9" s="6">
        <f t="shared" si="1"/>
        <v>610926.1244</v>
      </c>
      <c r="P9" s="2">
        <f t="shared" si="5"/>
        <v>50.5053</v>
      </c>
      <c r="Q9" s="6">
        <f t="shared" si="2"/>
        <v>3415478.3997</v>
      </c>
      <c r="R9" s="2">
        <f t="shared" si="3"/>
        <v>11.829705</v>
      </c>
      <c r="S9" s="9">
        <f t="shared" si="6"/>
        <v>86.146591</v>
      </c>
      <c r="T9">
        <v>6</v>
      </c>
      <c r="U9">
        <v>7</v>
      </c>
      <c r="W9">
        <v>85</v>
      </c>
    </row>
    <row r="10" ht="14.25" spans="1:23">
      <c r="A10">
        <v>7</v>
      </c>
      <c r="B10">
        <v>8</v>
      </c>
      <c r="C10">
        <v>23</v>
      </c>
      <c r="D10">
        <v>85</v>
      </c>
      <c r="E10">
        <v>13</v>
      </c>
      <c r="G10">
        <v>7</v>
      </c>
      <c r="H10" s="4">
        <f>O9</f>
        <v>610926.1244</v>
      </c>
      <c r="I10" s="4">
        <f>Q9</f>
        <v>3415478.3997</v>
      </c>
      <c r="J10" s="2">
        <v>83</v>
      </c>
      <c r="K10" s="2">
        <v>10</v>
      </c>
      <c r="L10" s="2">
        <v>26</v>
      </c>
      <c r="M10" s="2">
        <f t="shared" si="0"/>
        <v>81.7384</v>
      </c>
      <c r="N10" s="2">
        <f t="shared" si="4"/>
        <v>35.964896</v>
      </c>
      <c r="O10" s="6">
        <f t="shared" si="1"/>
        <v>610962.089296</v>
      </c>
      <c r="P10" s="2">
        <f t="shared" si="5"/>
        <v>73.56456</v>
      </c>
      <c r="Q10" s="6">
        <f t="shared" si="2"/>
        <v>3415551.96426</v>
      </c>
      <c r="R10" s="2">
        <f t="shared" si="3"/>
        <v>14.412784</v>
      </c>
      <c r="S10" s="9">
        <f t="shared" si="6"/>
        <v>97.976296</v>
      </c>
      <c r="T10">
        <v>7</v>
      </c>
      <c r="U10">
        <v>8</v>
      </c>
      <c r="W10">
        <v>83</v>
      </c>
    </row>
    <row r="11" ht="14.25" spans="1:23">
      <c r="A11">
        <v>8</v>
      </c>
      <c r="B11">
        <v>9</v>
      </c>
      <c r="C11">
        <v>49</v>
      </c>
      <c r="D11">
        <v>65</v>
      </c>
      <c r="E11">
        <v>13</v>
      </c>
      <c r="G11">
        <v>8</v>
      </c>
      <c r="H11" s="4">
        <v>610961</v>
      </c>
      <c r="I11" s="4">
        <v>3415552</v>
      </c>
      <c r="J11" s="2">
        <v>67</v>
      </c>
      <c r="K11" s="2">
        <v>16</v>
      </c>
      <c r="L11" s="2">
        <v>46</v>
      </c>
      <c r="M11" s="2">
        <f t="shared" si="0"/>
        <v>64.4071</v>
      </c>
      <c r="N11" s="2">
        <f t="shared" si="4"/>
        <v>46.373112</v>
      </c>
      <c r="O11" s="6">
        <f t="shared" si="1"/>
        <v>611007.373112</v>
      </c>
      <c r="P11" s="2">
        <f t="shared" si="5"/>
        <v>44.440899</v>
      </c>
      <c r="Q11" s="6">
        <f t="shared" si="2"/>
        <v>3415596.440899</v>
      </c>
      <c r="R11" s="2">
        <f t="shared" si="3"/>
        <v>18.467679</v>
      </c>
      <c r="S11" s="9">
        <f t="shared" si="6"/>
        <v>112.38908</v>
      </c>
      <c r="T11">
        <v>8</v>
      </c>
      <c r="U11">
        <v>9</v>
      </c>
      <c r="W11">
        <v>67</v>
      </c>
    </row>
    <row r="12" ht="14.25" spans="1:23">
      <c r="A12">
        <v>9</v>
      </c>
      <c r="B12">
        <v>10</v>
      </c>
      <c r="C12">
        <v>62</v>
      </c>
      <c r="D12">
        <v>40</v>
      </c>
      <c r="E12">
        <v>10</v>
      </c>
      <c r="G12">
        <v>9</v>
      </c>
      <c r="H12" s="4">
        <v>611007</v>
      </c>
      <c r="I12" s="4">
        <v>3415597</v>
      </c>
      <c r="J12" s="2">
        <v>41</v>
      </c>
      <c r="K12" s="2">
        <v>10</v>
      </c>
      <c r="L12" s="2">
        <v>60</v>
      </c>
      <c r="M12" s="2">
        <f t="shared" si="0"/>
        <v>40.3768</v>
      </c>
      <c r="N12" s="2">
        <f t="shared" si="4"/>
        <v>35.127816</v>
      </c>
      <c r="O12" s="6">
        <f t="shared" si="1"/>
        <v>611042.127816</v>
      </c>
      <c r="P12" s="2">
        <f t="shared" si="5"/>
        <v>20.1884</v>
      </c>
      <c r="Q12" s="6">
        <f t="shared" si="2"/>
        <v>3415617.1884</v>
      </c>
      <c r="R12" s="2">
        <f t="shared" si="3"/>
        <v>7.119568</v>
      </c>
      <c r="S12" s="9">
        <f t="shared" si="6"/>
        <v>130.856759</v>
      </c>
      <c r="T12">
        <v>9</v>
      </c>
      <c r="U12">
        <v>10</v>
      </c>
      <c r="W12">
        <v>41</v>
      </c>
    </row>
    <row r="13" ht="14.25" spans="1:23">
      <c r="A13">
        <v>10</v>
      </c>
      <c r="B13">
        <v>11</v>
      </c>
      <c r="C13">
        <v>64</v>
      </c>
      <c r="D13">
        <v>46</v>
      </c>
      <c r="E13">
        <v>6</v>
      </c>
      <c r="G13">
        <v>10</v>
      </c>
      <c r="H13" s="4">
        <f>O12</f>
        <v>611042.127816</v>
      </c>
      <c r="I13" s="4">
        <f>Q12</f>
        <v>3415617.1884</v>
      </c>
      <c r="J13" s="2">
        <v>46</v>
      </c>
      <c r="K13" s="2">
        <v>6</v>
      </c>
      <c r="L13" s="2">
        <v>64</v>
      </c>
      <c r="M13" s="2">
        <f t="shared" si="0"/>
        <v>45.747</v>
      </c>
      <c r="N13" s="2">
        <f t="shared" si="4"/>
        <v>41.1723</v>
      </c>
      <c r="O13" s="6">
        <f t="shared" si="1"/>
        <v>611083.300116</v>
      </c>
      <c r="P13" s="2">
        <f t="shared" si="5"/>
        <v>20.12868</v>
      </c>
      <c r="Q13" s="6">
        <f t="shared" si="2"/>
        <v>3415637.31708</v>
      </c>
      <c r="R13" s="2">
        <f t="shared" si="3"/>
        <v>4.808288</v>
      </c>
      <c r="S13" s="9">
        <f t="shared" si="6"/>
        <v>137.976327</v>
      </c>
      <c r="T13">
        <v>10</v>
      </c>
      <c r="U13">
        <v>11</v>
      </c>
      <c r="W13">
        <v>46</v>
      </c>
    </row>
    <row r="14" ht="14.25" spans="1:23">
      <c r="A14">
        <v>11</v>
      </c>
      <c r="B14">
        <v>12</v>
      </c>
      <c r="C14">
        <v>32</v>
      </c>
      <c r="D14">
        <v>75</v>
      </c>
      <c r="E14">
        <v>8</v>
      </c>
      <c r="G14">
        <v>11</v>
      </c>
      <c r="H14" s="4">
        <v>611083</v>
      </c>
      <c r="I14" s="4">
        <v>3415637</v>
      </c>
      <c r="J14" s="2">
        <v>76</v>
      </c>
      <c r="K14" s="2">
        <v>8</v>
      </c>
      <c r="L14" s="2">
        <v>34</v>
      </c>
      <c r="M14" s="2">
        <f t="shared" si="0"/>
        <v>75.2628</v>
      </c>
      <c r="N14" s="2">
        <f t="shared" si="4"/>
        <v>42.147168</v>
      </c>
      <c r="O14" s="6">
        <f t="shared" si="1"/>
        <v>611125.147168</v>
      </c>
      <c r="P14" s="2">
        <f t="shared" si="5"/>
        <v>62.468124</v>
      </c>
      <c r="Q14" s="6">
        <f t="shared" si="2"/>
        <v>3415699.468124</v>
      </c>
      <c r="R14" s="2">
        <f t="shared" si="3"/>
        <v>10.577148</v>
      </c>
      <c r="S14" s="9">
        <f t="shared" si="6"/>
        <v>142.784615</v>
      </c>
      <c r="T14">
        <v>11</v>
      </c>
      <c r="U14">
        <v>12</v>
      </c>
      <c r="W14">
        <v>76</v>
      </c>
    </row>
    <row r="15" ht="14.25" spans="1:23">
      <c r="A15">
        <v>12</v>
      </c>
      <c r="B15">
        <v>13</v>
      </c>
      <c r="C15">
        <v>38</v>
      </c>
      <c r="D15">
        <v>55</v>
      </c>
      <c r="E15">
        <v>6</v>
      </c>
      <c r="G15">
        <v>12</v>
      </c>
      <c r="H15" s="4">
        <f>O14</f>
        <v>611125.147168</v>
      </c>
      <c r="I15" s="4">
        <f>Q14</f>
        <v>3415699.468124</v>
      </c>
      <c r="J15" s="2">
        <v>52</v>
      </c>
      <c r="K15" s="2">
        <v>7</v>
      </c>
      <c r="L15" s="2">
        <v>34</v>
      </c>
      <c r="M15" s="2">
        <f t="shared" si="0"/>
        <v>51.61</v>
      </c>
      <c r="N15" s="2">
        <f t="shared" si="4"/>
        <v>28.9016</v>
      </c>
      <c r="O15" s="6">
        <f t="shared" si="1"/>
        <v>611154.048768</v>
      </c>
      <c r="P15" s="2">
        <f t="shared" si="5"/>
        <v>42.8363</v>
      </c>
      <c r="Q15" s="6">
        <f t="shared" si="2"/>
        <v>3415742.304424</v>
      </c>
      <c r="R15" s="2">
        <f t="shared" si="3"/>
        <v>6.337188</v>
      </c>
      <c r="S15" s="9">
        <f t="shared" si="6"/>
        <v>153.361763</v>
      </c>
      <c r="T15">
        <v>12</v>
      </c>
      <c r="U15">
        <v>13</v>
      </c>
      <c r="W15">
        <v>52</v>
      </c>
    </row>
    <row r="16" ht="14.25" spans="1:23">
      <c r="A16">
        <v>13</v>
      </c>
      <c r="B16">
        <v>14</v>
      </c>
      <c r="C16">
        <v>57</v>
      </c>
      <c r="D16">
        <v>93</v>
      </c>
      <c r="E16">
        <v>8</v>
      </c>
      <c r="G16">
        <v>13</v>
      </c>
      <c r="H16" s="4">
        <f>O15</f>
        <v>611154.048768</v>
      </c>
      <c r="I16" s="4">
        <f>Q15</f>
        <v>3415742.304424</v>
      </c>
      <c r="J16" s="2">
        <v>97</v>
      </c>
      <c r="K16" s="2">
        <v>8</v>
      </c>
      <c r="L16" s="2">
        <v>59</v>
      </c>
      <c r="M16" s="2">
        <f t="shared" si="0"/>
        <v>96.0591</v>
      </c>
      <c r="N16" s="2">
        <f t="shared" si="4"/>
        <v>82.610826</v>
      </c>
      <c r="O16" s="6">
        <f t="shared" si="1"/>
        <v>611236.659594</v>
      </c>
      <c r="P16" s="2">
        <f t="shared" si="5"/>
        <v>49.950732</v>
      </c>
      <c r="Q16" s="6">
        <f t="shared" si="2"/>
        <v>3415792.255156</v>
      </c>
      <c r="R16" s="2">
        <f t="shared" si="3"/>
        <v>13.499781</v>
      </c>
      <c r="S16" s="9">
        <f t="shared" si="6"/>
        <v>159.698951</v>
      </c>
      <c r="T16">
        <v>13</v>
      </c>
      <c r="U16">
        <v>14</v>
      </c>
      <c r="W16">
        <v>97</v>
      </c>
    </row>
    <row r="17" ht="14.25" spans="1:23">
      <c r="A17">
        <v>14</v>
      </c>
      <c r="B17">
        <v>15</v>
      </c>
      <c r="C17">
        <v>41</v>
      </c>
      <c r="D17">
        <v>74</v>
      </c>
      <c r="E17">
        <v>8</v>
      </c>
      <c r="G17">
        <v>14</v>
      </c>
      <c r="H17" s="4">
        <v>611236</v>
      </c>
      <c r="I17" s="4">
        <v>3415793</v>
      </c>
      <c r="J17" s="2">
        <v>74</v>
      </c>
      <c r="K17" s="2">
        <v>8</v>
      </c>
      <c r="L17" s="2">
        <v>42</v>
      </c>
      <c r="M17" s="2">
        <f t="shared" si="0"/>
        <v>73.2822</v>
      </c>
      <c r="N17" s="2">
        <f t="shared" si="4"/>
        <v>49.099074</v>
      </c>
      <c r="O17" s="6">
        <f t="shared" si="1"/>
        <v>611285.099074</v>
      </c>
      <c r="P17" s="2">
        <f t="shared" si="5"/>
        <v>54.228828</v>
      </c>
      <c r="Q17" s="6">
        <f t="shared" si="2"/>
        <v>3415847.228828</v>
      </c>
      <c r="R17" s="2">
        <f t="shared" si="3"/>
        <v>10.298802</v>
      </c>
      <c r="S17" s="9">
        <f t="shared" si="6"/>
        <v>173.198732</v>
      </c>
      <c r="T17">
        <v>14</v>
      </c>
      <c r="U17">
        <v>15</v>
      </c>
      <c r="W17">
        <v>74</v>
      </c>
    </row>
    <row r="18" ht="14.25" spans="1:23">
      <c r="A18">
        <v>15</v>
      </c>
      <c r="B18">
        <v>16</v>
      </c>
      <c r="C18">
        <v>56</v>
      </c>
      <c r="D18">
        <v>23</v>
      </c>
      <c r="E18">
        <v>14</v>
      </c>
      <c r="G18">
        <v>15</v>
      </c>
      <c r="H18" s="4">
        <f>O17</f>
        <v>611285.099074</v>
      </c>
      <c r="I18" s="4">
        <f>Q17</f>
        <v>3415847.228828</v>
      </c>
      <c r="J18" s="2">
        <v>23</v>
      </c>
      <c r="K18" s="2">
        <v>15</v>
      </c>
      <c r="L18" s="2">
        <v>51</v>
      </c>
      <c r="M18" s="2">
        <f t="shared" ref="M18:M32" si="7">J18*ROUND(COS(RADIANS(K18)),4)</f>
        <v>22.2157</v>
      </c>
      <c r="N18" s="2">
        <f t="shared" ref="N18:N32" si="8">M18*ROUND(SIN(RADIANS(L18)),2)</f>
        <v>17.328246</v>
      </c>
      <c r="O18" s="6">
        <f t="shared" ref="O18:O32" si="9">H18+N18</f>
        <v>611302.42732</v>
      </c>
      <c r="P18" s="2">
        <f t="shared" ref="P18:P32" si="10">M18*ROUND(COS(RADIANS(L18)),2)</f>
        <v>13.995891</v>
      </c>
      <c r="Q18" s="6">
        <f t="shared" ref="Q18:Q32" si="11">I18+P18</f>
        <v>3415861.224719</v>
      </c>
      <c r="R18" s="2">
        <f t="shared" ref="R18:R32" si="12">J18*ROUND(SIN(RADIANS(K18)),6)</f>
        <v>5.952837</v>
      </c>
      <c r="S18" s="9">
        <f t="shared" si="6"/>
        <v>183.497534</v>
      </c>
      <c r="T18">
        <v>15</v>
      </c>
      <c r="U18">
        <v>16</v>
      </c>
      <c r="W18">
        <v>23</v>
      </c>
    </row>
    <row r="19" ht="14.25" spans="1:23">
      <c r="A19">
        <v>16</v>
      </c>
      <c r="B19">
        <v>17</v>
      </c>
      <c r="C19">
        <v>352</v>
      </c>
      <c r="D19">
        <v>57</v>
      </c>
      <c r="E19">
        <v>10</v>
      </c>
      <c r="G19">
        <v>16</v>
      </c>
      <c r="H19" s="4">
        <v>611302</v>
      </c>
      <c r="I19" s="4">
        <v>3415862</v>
      </c>
      <c r="J19" s="2">
        <v>55</v>
      </c>
      <c r="K19" s="2">
        <v>9</v>
      </c>
      <c r="L19" s="2">
        <v>-9</v>
      </c>
      <c r="M19" s="2">
        <f t="shared" si="7"/>
        <v>54.3235</v>
      </c>
      <c r="N19" s="2">
        <f t="shared" si="8"/>
        <v>-8.69176</v>
      </c>
      <c r="O19" s="6">
        <f t="shared" si="9"/>
        <v>611293.30824</v>
      </c>
      <c r="P19" s="2">
        <f t="shared" si="10"/>
        <v>53.780265</v>
      </c>
      <c r="Q19" s="6">
        <f t="shared" si="11"/>
        <v>3415915.780265</v>
      </c>
      <c r="R19" s="2">
        <f t="shared" si="12"/>
        <v>8.60387</v>
      </c>
      <c r="S19" s="9">
        <f t="shared" si="6"/>
        <v>189.450371</v>
      </c>
      <c r="T19">
        <v>16</v>
      </c>
      <c r="U19">
        <v>17</v>
      </c>
      <c r="W19">
        <v>55</v>
      </c>
    </row>
    <row r="20" ht="14.25" spans="1:23">
      <c r="A20">
        <v>17</v>
      </c>
      <c r="B20">
        <v>18</v>
      </c>
      <c r="C20">
        <v>32</v>
      </c>
      <c r="D20">
        <v>49</v>
      </c>
      <c r="E20">
        <v>12</v>
      </c>
      <c r="G20">
        <v>17</v>
      </c>
      <c r="H20" s="4">
        <v>611293</v>
      </c>
      <c r="I20" s="4">
        <v>3415916</v>
      </c>
      <c r="J20" s="2">
        <v>48</v>
      </c>
      <c r="K20" s="2">
        <v>13</v>
      </c>
      <c r="L20" s="2">
        <v>34</v>
      </c>
      <c r="M20" s="2">
        <f t="shared" si="7"/>
        <v>46.7712</v>
      </c>
      <c r="N20" s="2">
        <f t="shared" si="8"/>
        <v>26.191872</v>
      </c>
      <c r="O20" s="6">
        <f t="shared" si="9"/>
        <v>611319.191872</v>
      </c>
      <c r="P20" s="2">
        <f t="shared" si="10"/>
        <v>38.820096</v>
      </c>
      <c r="Q20" s="6">
        <f t="shared" si="11"/>
        <v>3415954.820096</v>
      </c>
      <c r="R20" s="2">
        <f t="shared" si="12"/>
        <v>10.797648</v>
      </c>
      <c r="S20" s="9">
        <f t="shared" si="6"/>
        <v>198.054241</v>
      </c>
      <c r="T20">
        <v>17</v>
      </c>
      <c r="U20">
        <v>18</v>
      </c>
      <c r="W20">
        <v>48</v>
      </c>
    </row>
    <row r="21" ht="14.25" spans="1:23">
      <c r="A21">
        <v>18</v>
      </c>
      <c r="B21">
        <v>19</v>
      </c>
      <c r="C21">
        <v>30</v>
      </c>
      <c r="D21">
        <v>64</v>
      </c>
      <c r="E21">
        <v>11</v>
      </c>
      <c r="G21">
        <v>18</v>
      </c>
      <c r="H21" s="4">
        <v>611319</v>
      </c>
      <c r="I21" s="4">
        <v>3415955</v>
      </c>
      <c r="J21" s="2">
        <v>66</v>
      </c>
      <c r="K21" s="2">
        <v>11</v>
      </c>
      <c r="L21" s="2">
        <v>30</v>
      </c>
      <c r="M21" s="2">
        <f t="shared" si="7"/>
        <v>64.7856</v>
      </c>
      <c r="N21" s="2">
        <f t="shared" si="8"/>
        <v>32.3928</v>
      </c>
      <c r="O21" s="6">
        <f t="shared" si="9"/>
        <v>611351.3928</v>
      </c>
      <c r="P21" s="2">
        <f t="shared" si="10"/>
        <v>56.363472</v>
      </c>
      <c r="Q21" s="6">
        <f t="shared" si="11"/>
        <v>3416011.363472</v>
      </c>
      <c r="R21" s="2">
        <f t="shared" si="12"/>
        <v>12.593394</v>
      </c>
      <c r="S21" s="9">
        <f t="shared" si="6"/>
        <v>208.851889</v>
      </c>
      <c r="T21">
        <v>18</v>
      </c>
      <c r="U21">
        <v>19</v>
      </c>
      <c r="W21">
        <v>66</v>
      </c>
    </row>
    <row r="22" ht="14.25" spans="1:23">
      <c r="A22">
        <v>19</v>
      </c>
      <c r="B22">
        <v>20</v>
      </c>
      <c r="C22">
        <v>13</v>
      </c>
      <c r="D22">
        <v>45</v>
      </c>
      <c r="E22">
        <v>8</v>
      </c>
      <c r="G22">
        <v>19</v>
      </c>
      <c r="H22" s="4">
        <f>O21</f>
        <v>611351.3928</v>
      </c>
      <c r="I22" s="4">
        <f>Q21</f>
        <v>3416011.363472</v>
      </c>
      <c r="J22" s="2">
        <v>44</v>
      </c>
      <c r="K22" s="2">
        <v>8</v>
      </c>
      <c r="L22" s="2">
        <v>11</v>
      </c>
      <c r="M22" s="2">
        <f t="shared" si="7"/>
        <v>43.5732</v>
      </c>
      <c r="N22" s="2">
        <f t="shared" si="8"/>
        <v>8.278908</v>
      </c>
      <c r="O22" s="6">
        <f t="shared" si="9"/>
        <v>611359.671708</v>
      </c>
      <c r="P22" s="2">
        <f t="shared" si="10"/>
        <v>42.701736</v>
      </c>
      <c r="Q22" s="6">
        <f t="shared" si="11"/>
        <v>3416054.065208</v>
      </c>
      <c r="R22" s="2">
        <f t="shared" si="12"/>
        <v>6.123612</v>
      </c>
      <c r="S22" s="9">
        <f t="shared" si="6"/>
        <v>221.445283</v>
      </c>
      <c r="T22">
        <v>19</v>
      </c>
      <c r="U22">
        <v>20</v>
      </c>
      <c r="W22">
        <v>44</v>
      </c>
    </row>
    <row r="23" ht="14.25" spans="1:23">
      <c r="A23">
        <v>20</v>
      </c>
      <c r="B23">
        <v>21</v>
      </c>
      <c r="C23">
        <v>14</v>
      </c>
      <c r="D23">
        <v>43</v>
      </c>
      <c r="E23">
        <v>21</v>
      </c>
      <c r="G23">
        <v>20</v>
      </c>
      <c r="H23" s="4">
        <v>611359</v>
      </c>
      <c r="I23" s="4">
        <v>3416054</v>
      </c>
      <c r="J23" s="2">
        <v>45</v>
      </c>
      <c r="K23" s="2">
        <v>21</v>
      </c>
      <c r="L23" s="2">
        <v>11</v>
      </c>
      <c r="M23" s="2">
        <f t="shared" si="7"/>
        <v>42.012</v>
      </c>
      <c r="N23" s="2">
        <f t="shared" si="8"/>
        <v>7.98228</v>
      </c>
      <c r="O23" s="6">
        <f t="shared" si="9"/>
        <v>611366.98228</v>
      </c>
      <c r="P23" s="2">
        <f t="shared" si="10"/>
        <v>41.17176</v>
      </c>
      <c r="Q23" s="6">
        <f t="shared" si="11"/>
        <v>3416095.17176</v>
      </c>
      <c r="R23" s="2">
        <f t="shared" si="12"/>
        <v>16.12656</v>
      </c>
      <c r="S23" s="9">
        <f t="shared" si="6"/>
        <v>227.568895</v>
      </c>
      <c r="T23">
        <v>20</v>
      </c>
      <c r="U23">
        <v>21</v>
      </c>
      <c r="W23">
        <v>45</v>
      </c>
    </row>
    <row r="24" ht="14.25" spans="1:23">
      <c r="A24">
        <v>21</v>
      </c>
      <c r="B24">
        <v>22</v>
      </c>
      <c r="C24">
        <v>355</v>
      </c>
      <c r="D24">
        <v>70</v>
      </c>
      <c r="E24">
        <v>15</v>
      </c>
      <c r="G24">
        <v>21</v>
      </c>
      <c r="H24" s="4">
        <v>611367</v>
      </c>
      <c r="I24" s="4">
        <v>3416095</v>
      </c>
      <c r="J24" s="2">
        <v>68</v>
      </c>
      <c r="K24" s="2">
        <v>15</v>
      </c>
      <c r="L24" s="2">
        <v>-2</v>
      </c>
      <c r="M24" s="2">
        <f t="shared" si="7"/>
        <v>65.6812</v>
      </c>
      <c r="N24" s="2">
        <f t="shared" si="8"/>
        <v>-1.970436</v>
      </c>
      <c r="O24" s="6">
        <f t="shared" si="9"/>
        <v>611365.029564</v>
      </c>
      <c r="P24" s="2">
        <f t="shared" si="10"/>
        <v>65.6812</v>
      </c>
      <c r="Q24" s="6">
        <f t="shared" si="11"/>
        <v>3416160.6812</v>
      </c>
      <c r="R24" s="2">
        <f t="shared" si="12"/>
        <v>17.599692</v>
      </c>
      <c r="S24" s="9">
        <f t="shared" si="6"/>
        <v>243.695455</v>
      </c>
      <c r="T24">
        <v>21</v>
      </c>
      <c r="U24">
        <v>22</v>
      </c>
      <c r="W24">
        <v>68</v>
      </c>
    </row>
    <row r="25" ht="14.25" spans="1:23">
      <c r="A25">
        <v>22</v>
      </c>
      <c r="B25">
        <v>23</v>
      </c>
      <c r="C25">
        <v>10</v>
      </c>
      <c r="D25">
        <v>44</v>
      </c>
      <c r="E25">
        <v>-5</v>
      </c>
      <c r="G25">
        <v>22</v>
      </c>
      <c r="H25" s="4">
        <f>O24</f>
        <v>611365.029564</v>
      </c>
      <c r="I25" s="4">
        <f>Q24</f>
        <v>3416160.6812</v>
      </c>
      <c r="J25" s="2">
        <v>43</v>
      </c>
      <c r="K25" s="2">
        <v>-5</v>
      </c>
      <c r="L25" s="2">
        <v>7</v>
      </c>
      <c r="M25" s="2">
        <f t="shared" si="7"/>
        <v>42.8366</v>
      </c>
      <c r="N25" s="2">
        <f t="shared" si="8"/>
        <v>5.140392</v>
      </c>
      <c r="O25" s="6">
        <f t="shared" si="9"/>
        <v>611370.169956</v>
      </c>
      <c r="P25" s="2">
        <f t="shared" si="10"/>
        <v>42.408234</v>
      </c>
      <c r="Q25" s="6">
        <f t="shared" si="11"/>
        <v>3416203.089434</v>
      </c>
      <c r="R25" s="2">
        <f t="shared" si="12"/>
        <v>-3.747708</v>
      </c>
      <c r="S25" s="9">
        <f t="shared" si="6"/>
        <v>261.295147</v>
      </c>
      <c r="T25">
        <v>22</v>
      </c>
      <c r="U25">
        <v>23</v>
      </c>
      <c r="W25">
        <v>43</v>
      </c>
    </row>
    <row r="26" ht="14.25" spans="1:23">
      <c r="A26">
        <v>23</v>
      </c>
      <c r="B26">
        <v>24</v>
      </c>
      <c r="C26">
        <v>22</v>
      </c>
      <c r="D26">
        <v>64</v>
      </c>
      <c r="E26">
        <v>4</v>
      </c>
      <c r="G26">
        <v>23</v>
      </c>
      <c r="H26" s="4">
        <f>O25</f>
        <v>611370.169956</v>
      </c>
      <c r="I26" s="4">
        <f>Q25</f>
        <v>3416203.089434</v>
      </c>
      <c r="J26" s="2">
        <v>65</v>
      </c>
      <c r="K26" s="2">
        <v>4</v>
      </c>
      <c r="L26" s="2">
        <v>25</v>
      </c>
      <c r="M26" s="2">
        <f t="shared" si="7"/>
        <v>64.844</v>
      </c>
      <c r="N26" s="2">
        <f t="shared" si="8"/>
        <v>27.23448</v>
      </c>
      <c r="O26" s="6">
        <f t="shared" si="9"/>
        <v>611397.404436</v>
      </c>
      <c r="P26" s="2">
        <f t="shared" si="10"/>
        <v>59.00804</v>
      </c>
      <c r="Q26" s="6">
        <f t="shared" si="11"/>
        <v>3416262.097474</v>
      </c>
      <c r="R26" s="2">
        <f t="shared" si="12"/>
        <v>4.53414</v>
      </c>
      <c r="S26" s="9">
        <f t="shared" si="6"/>
        <v>257.547439</v>
      </c>
      <c r="T26">
        <v>23</v>
      </c>
      <c r="U26">
        <v>24</v>
      </c>
      <c r="W26">
        <v>65</v>
      </c>
    </row>
    <row r="27" ht="14.25" spans="1:23">
      <c r="A27">
        <v>24</v>
      </c>
      <c r="B27">
        <v>25</v>
      </c>
      <c r="C27">
        <v>4</v>
      </c>
      <c r="D27">
        <v>35</v>
      </c>
      <c r="E27">
        <v>10</v>
      </c>
      <c r="G27">
        <v>24</v>
      </c>
      <c r="H27" s="4">
        <v>611397</v>
      </c>
      <c r="I27" s="4">
        <v>3416263</v>
      </c>
      <c r="J27" s="2">
        <v>36</v>
      </c>
      <c r="K27" s="2">
        <v>10</v>
      </c>
      <c r="L27" s="2">
        <v>3</v>
      </c>
      <c r="M27" s="2">
        <f t="shared" si="7"/>
        <v>35.4528</v>
      </c>
      <c r="N27" s="2">
        <f t="shared" si="8"/>
        <v>1.77264</v>
      </c>
      <c r="O27" s="6">
        <f t="shared" si="9"/>
        <v>611398.77264</v>
      </c>
      <c r="P27" s="2">
        <f t="shared" si="10"/>
        <v>35.4528</v>
      </c>
      <c r="Q27" s="6">
        <f t="shared" si="11"/>
        <v>3416298.4528</v>
      </c>
      <c r="R27" s="2">
        <f t="shared" si="12"/>
        <v>6.251328</v>
      </c>
      <c r="S27" s="9">
        <f t="shared" si="6"/>
        <v>262.081579</v>
      </c>
      <c r="T27">
        <v>24</v>
      </c>
      <c r="U27">
        <v>25</v>
      </c>
      <c r="W27">
        <v>36</v>
      </c>
    </row>
    <row r="28" ht="14.25" spans="1:23">
      <c r="A28">
        <v>25</v>
      </c>
      <c r="B28">
        <v>26</v>
      </c>
      <c r="C28">
        <v>12</v>
      </c>
      <c r="D28">
        <v>34</v>
      </c>
      <c r="E28">
        <v>11</v>
      </c>
      <c r="G28">
        <v>25</v>
      </c>
      <c r="H28" s="4">
        <v>611399</v>
      </c>
      <c r="I28" s="4">
        <v>3416298</v>
      </c>
      <c r="J28" s="2">
        <v>33</v>
      </c>
      <c r="K28" s="2">
        <v>12</v>
      </c>
      <c r="L28" s="2">
        <v>11</v>
      </c>
      <c r="M28" s="2">
        <f t="shared" si="7"/>
        <v>32.2773</v>
      </c>
      <c r="N28" s="2">
        <f t="shared" si="8"/>
        <v>6.132687</v>
      </c>
      <c r="O28" s="6">
        <f t="shared" si="9"/>
        <v>611405.132687</v>
      </c>
      <c r="P28" s="2">
        <f t="shared" si="10"/>
        <v>31.631754</v>
      </c>
      <c r="Q28" s="6">
        <f t="shared" si="11"/>
        <v>3416329.631754</v>
      </c>
      <c r="R28" s="2">
        <f t="shared" si="12"/>
        <v>6.861096</v>
      </c>
      <c r="S28" s="9">
        <f t="shared" si="6"/>
        <v>268.332907</v>
      </c>
      <c r="T28">
        <v>25</v>
      </c>
      <c r="U28">
        <v>26</v>
      </c>
      <c r="W28">
        <v>33</v>
      </c>
    </row>
    <row r="29" ht="14.25" spans="1:23">
      <c r="A29">
        <v>26</v>
      </c>
      <c r="B29">
        <v>27</v>
      </c>
      <c r="C29">
        <v>47</v>
      </c>
      <c r="D29">
        <v>29</v>
      </c>
      <c r="E29">
        <v>11</v>
      </c>
      <c r="G29">
        <v>26</v>
      </c>
      <c r="H29" s="4">
        <f>O28</f>
        <v>611405.132687</v>
      </c>
      <c r="I29" s="4">
        <f>Q28</f>
        <v>3416329.631754</v>
      </c>
      <c r="J29" s="2">
        <v>28</v>
      </c>
      <c r="K29" s="2">
        <v>10</v>
      </c>
      <c r="L29" s="2">
        <v>44</v>
      </c>
      <c r="M29" s="2">
        <f t="shared" si="7"/>
        <v>27.5744</v>
      </c>
      <c r="N29" s="2">
        <f t="shared" si="8"/>
        <v>19.026336</v>
      </c>
      <c r="O29" s="6">
        <f t="shared" si="9"/>
        <v>611424.159023</v>
      </c>
      <c r="P29" s="2">
        <f t="shared" si="10"/>
        <v>19.853568</v>
      </c>
      <c r="Q29" s="6">
        <f t="shared" si="11"/>
        <v>3416349.485322</v>
      </c>
      <c r="R29" s="2">
        <f t="shared" si="12"/>
        <v>4.862144</v>
      </c>
      <c r="S29" s="9">
        <f t="shared" si="6"/>
        <v>275.194003</v>
      </c>
      <c r="T29">
        <v>26</v>
      </c>
      <c r="U29">
        <v>27</v>
      </c>
      <c r="W29">
        <v>28</v>
      </c>
    </row>
    <row r="30" ht="14.25" spans="1:23">
      <c r="A30">
        <v>27</v>
      </c>
      <c r="B30">
        <v>28</v>
      </c>
      <c r="C30">
        <v>15</v>
      </c>
      <c r="D30">
        <v>17</v>
      </c>
      <c r="E30">
        <v>9</v>
      </c>
      <c r="G30">
        <v>27</v>
      </c>
      <c r="H30" s="4">
        <f>O29</f>
        <v>611424.159023</v>
      </c>
      <c r="I30" s="4">
        <f>Q29</f>
        <v>3416349.485322</v>
      </c>
      <c r="J30" s="2">
        <v>17</v>
      </c>
      <c r="K30" s="2">
        <v>10</v>
      </c>
      <c r="L30" s="2">
        <v>14</v>
      </c>
      <c r="M30" s="2">
        <f t="shared" si="7"/>
        <v>16.7416</v>
      </c>
      <c r="N30" s="2">
        <f t="shared" si="8"/>
        <v>4.017984</v>
      </c>
      <c r="O30" s="6">
        <f t="shared" si="9"/>
        <v>611428.177007</v>
      </c>
      <c r="P30" s="2">
        <f t="shared" si="10"/>
        <v>16.239352</v>
      </c>
      <c r="Q30" s="6">
        <f t="shared" si="11"/>
        <v>3416365.724674</v>
      </c>
      <c r="R30" s="2">
        <f t="shared" si="12"/>
        <v>2.952016</v>
      </c>
      <c r="S30" s="9">
        <f t="shared" si="6"/>
        <v>280.056147</v>
      </c>
      <c r="T30">
        <v>27</v>
      </c>
      <c r="U30">
        <v>28</v>
      </c>
      <c r="W30">
        <v>17</v>
      </c>
    </row>
    <row r="31" ht="14.25" spans="1:23">
      <c r="A31">
        <v>28</v>
      </c>
      <c r="B31">
        <v>29</v>
      </c>
      <c r="C31">
        <v>70</v>
      </c>
      <c r="D31">
        <v>27</v>
      </c>
      <c r="E31">
        <v>9</v>
      </c>
      <c r="G31">
        <v>28</v>
      </c>
      <c r="H31" s="4">
        <v>611428</v>
      </c>
      <c r="I31" s="4">
        <v>3416366</v>
      </c>
      <c r="J31" s="2">
        <v>28</v>
      </c>
      <c r="K31" s="2">
        <v>8</v>
      </c>
      <c r="L31" s="2">
        <v>71</v>
      </c>
      <c r="M31" s="2">
        <f t="shared" si="7"/>
        <v>27.7284</v>
      </c>
      <c r="N31" s="2">
        <f t="shared" si="8"/>
        <v>26.34198</v>
      </c>
      <c r="O31" s="6">
        <f t="shared" si="9"/>
        <v>611454.34198</v>
      </c>
      <c r="P31" s="2">
        <f t="shared" si="10"/>
        <v>9.150372</v>
      </c>
      <c r="Q31" s="6">
        <f t="shared" si="11"/>
        <v>3416375.150372</v>
      </c>
      <c r="R31" s="2">
        <f t="shared" si="12"/>
        <v>3.896844</v>
      </c>
      <c r="S31" s="9">
        <f t="shared" si="6"/>
        <v>283.008163</v>
      </c>
      <c r="T31">
        <v>28</v>
      </c>
      <c r="U31">
        <v>29</v>
      </c>
      <c r="W31">
        <v>28</v>
      </c>
    </row>
    <row r="32" ht="14.25" spans="1:23">
      <c r="A32">
        <v>29</v>
      </c>
      <c r="B32">
        <v>30</v>
      </c>
      <c r="C32">
        <v>49</v>
      </c>
      <c r="D32">
        <v>22</v>
      </c>
      <c r="E32">
        <v>23</v>
      </c>
      <c r="G32">
        <v>29</v>
      </c>
      <c r="H32" s="4">
        <v>611454</v>
      </c>
      <c r="I32" s="4">
        <v>3416375</v>
      </c>
      <c r="J32" s="2">
        <v>24</v>
      </c>
      <c r="K32" s="2">
        <v>22</v>
      </c>
      <c r="L32" s="2">
        <v>51</v>
      </c>
      <c r="M32" s="2">
        <f t="shared" si="7"/>
        <v>22.2528</v>
      </c>
      <c r="N32" s="2">
        <f t="shared" si="8"/>
        <v>17.357184</v>
      </c>
      <c r="O32" s="6">
        <f t="shared" si="9"/>
        <v>611471.357184</v>
      </c>
      <c r="P32" s="2">
        <f t="shared" si="10"/>
        <v>14.019264</v>
      </c>
      <c r="Q32" s="6">
        <f t="shared" si="11"/>
        <v>3416389.019264</v>
      </c>
      <c r="R32" s="2">
        <f t="shared" si="12"/>
        <v>8.990568</v>
      </c>
      <c r="S32" s="9">
        <f t="shared" si="6"/>
        <v>286.905007</v>
      </c>
      <c r="T32">
        <v>29</v>
      </c>
      <c r="U32">
        <v>30</v>
      </c>
      <c r="W32">
        <v>24</v>
      </c>
    </row>
    <row r="33" ht="14.25" spans="1:23">
      <c r="A33">
        <v>30</v>
      </c>
      <c r="B33">
        <v>31</v>
      </c>
      <c r="C33">
        <v>80</v>
      </c>
      <c r="D33">
        <v>22</v>
      </c>
      <c r="E33">
        <v>29</v>
      </c>
      <c r="G33">
        <v>30</v>
      </c>
      <c r="H33" s="4">
        <v>611471</v>
      </c>
      <c r="I33" s="4">
        <v>3416389</v>
      </c>
      <c r="J33" s="2">
        <v>21</v>
      </c>
      <c r="K33" s="2">
        <v>33</v>
      </c>
      <c r="L33" s="2">
        <v>80</v>
      </c>
      <c r="M33" s="2">
        <f t="shared" ref="M33:M51" si="13">J33*ROUND(COS(RADIANS(K33)),4)</f>
        <v>17.6127</v>
      </c>
      <c r="N33" s="2">
        <f t="shared" ref="N33:N51" si="14">M33*ROUND(SIN(RADIANS(L33)),2)</f>
        <v>17.260446</v>
      </c>
      <c r="O33" s="6">
        <f t="shared" ref="O33:O51" si="15">H33+N33</f>
        <v>611488.260446</v>
      </c>
      <c r="P33" s="2">
        <f t="shared" ref="P33:P51" si="16">M33*ROUND(COS(RADIANS(L33)),2)</f>
        <v>2.994159</v>
      </c>
      <c r="Q33" s="6">
        <f t="shared" ref="Q33:Q51" si="17">I33+P33</f>
        <v>3416391.994159</v>
      </c>
      <c r="R33" s="2">
        <f t="shared" ref="R33:R51" si="18">J33*ROUND(SIN(RADIANS(K33)),6)</f>
        <v>11.437419</v>
      </c>
      <c r="S33" s="9">
        <f t="shared" si="6"/>
        <v>295.895575</v>
      </c>
      <c r="T33">
        <v>30</v>
      </c>
      <c r="U33">
        <v>31</v>
      </c>
      <c r="W33">
        <v>21</v>
      </c>
    </row>
    <row r="34" ht="14.25" spans="1:23">
      <c r="A34">
        <v>31</v>
      </c>
      <c r="B34">
        <v>32</v>
      </c>
      <c r="C34">
        <v>24</v>
      </c>
      <c r="D34">
        <v>11</v>
      </c>
      <c r="E34">
        <v>28</v>
      </c>
      <c r="G34">
        <v>31</v>
      </c>
      <c r="H34" s="4">
        <f>O33</f>
        <v>611488.260446</v>
      </c>
      <c r="I34" s="4">
        <f>Q33</f>
        <v>3416391.994159</v>
      </c>
      <c r="J34" s="2">
        <v>12</v>
      </c>
      <c r="K34" s="2">
        <v>25</v>
      </c>
      <c r="L34" s="2">
        <v>34</v>
      </c>
      <c r="M34" s="2">
        <f t="shared" si="13"/>
        <v>10.8756</v>
      </c>
      <c r="N34" s="2">
        <f t="shared" si="14"/>
        <v>6.090336</v>
      </c>
      <c r="O34" s="6">
        <f t="shared" si="15"/>
        <v>611494.350782</v>
      </c>
      <c r="P34" s="2">
        <f t="shared" si="16"/>
        <v>9.026748</v>
      </c>
      <c r="Q34" s="6">
        <f t="shared" si="17"/>
        <v>3416401.020907</v>
      </c>
      <c r="R34" s="2">
        <f t="shared" si="18"/>
        <v>5.071416</v>
      </c>
      <c r="S34" s="9">
        <f t="shared" si="6"/>
        <v>307.332994</v>
      </c>
      <c r="T34">
        <v>31</v>
      </c>
      <c r="U34">
        <v>32</v>
      </c>
      <c r="W34">
        <v>12</v>
      </c>
    </row>
    <row r="35" ht="14.25" spans="1:23">
      <c r="A35">
        <v>32</v>
      </c>
      <c r="B35">
        <v>33</v>
      </c>
      <c r="C35">
        <v>72</v>
      </c>
      <c r="D35">
        <v>27</v>
      </c>
      <c r="E35">
        <v>36</v>
      </c>
      <c r="G35">
        <v>32</v>
      </c>
      <c r="H35" s="4">
        <v>611494</v>
      </c>
      <c r="I35" s="4">
        <v>3416401</v>
      </c>
      <c r="J35" s="2">
        <v>25</v>
      </c>
      <c r="K35" s="2">
        <v>40</v>
      </c>
      <c r="L35" s="2">
        <v>72</v>
      </c>
      <c r="M35" s="2">
        <f t="shared" si="13"/>
        <v>19.15</v>
      </c>
      <c r="N35" s="2">
        <f t="shared" si="14"/>
        <v>18.1925</v>
      </c>
      <c r="O35" s="6">
        <f t="shared" si="15"/>
        <v>611512.1925</v>
      </c>
      <c r="P35" s="2">
        <f t="shared" si="16"/>
        <v>5.9365</v>
      </c>
      <c r="Q35" s="6">
        <f t="shared" si="17"/>
        <v>3416406.9365</v>
      </c>
      <c r="R35" s="2">
        <f t="shared" si="18"/>
        <v>16.0697</v>
      </c>
      <c r="S35" s="9">
        <f t="shared" si="6"/>
        <v>312.40441</v>
      </c>
      <c r="T35">
        <v>32</v>
      </c>
      <c r="U35">
        <v>33</v>
      </c>
      <c r="W35">
        <v>25</v>
      </c>
    </row>
    <row r="36" ht="14.25" spans="1:23">
      <c r="A36">
        <v>33</v>
      </c>
      <c r="B36">
        <v>34</v>
      </c>
      <c r="C36">
        <v>31</v>
      </c>
      <c r="D36">
        <v>25</v>
      </c>
      <c r="E36">
        <v>33</v>
      </c>
      <c r="G36">
        <v>33</v>
      </c>
      <c r="H36" s="4">
        <f>O35</f>
        <v>611512.1925</v>
      </c>
      <c r="I36" s="4">
        <f>Q35</f>
        <v>3416406.9365</v>
      </c>
      <c r="J36" s="2">
        <v>25</v>
      </c>
      <c r="K36" s="2">
        <v>31</v>
      </c>
      <c r="L36" s="2">
        <v>34</v>
      </c>
      <c r="M36" s="2">
        <f t="shared" si="13"/>
        <v>21.43</v>
      </c>
      <c r="N36" s="2">
        <f t="shared" si="14"/>
        <v>12.0008</v>
      </c>
      <c r="O36" s="6">
        <f t="shared" si="15"/>
        <v>611524.1933</v>
      </c>
      <c r="P36" s="2">
        <f t="shared" si="16"/>
        <v>17.7869</v>
      </c>
      <c r="Q36" s="6">
        <f t="shared" si="17"/>
        <v>3416424.7234</v>
      </c>
      <c r="R36" s="2">
        <f t="shared" si="18"/>
        <v>12.87595</v>
      </c>
      <c r="S36" s="9">
        <f t="shared" si="6"/>
        <v>328.47411</v>
      </c>
      <c r="T36">
        <v>33</v>
      </c>
      <c r="U36">
        <v>34</v>
      </c>
      <c r="W36">
        <v>25</v>
      </c>
    </row>
    <row r="37" ht="14.25" spans="1:23">
      <c r="A37">
        <v>34</v>
      </c>
      <c r="B37">
        <v>35</v>
      </c>
      <c r="C37">
        <v>50</v>
      </c>
      <c r="D37">
        <v>17</v>
      </c>
      <c r="E37">
        <v>29</v>
      </c>
      <c r="G37">
        <v>34</v>
      </c>
      <c r="H37" s="4">
        <v>611524</v>
      </c>
      <c r="I37" s="4">
        <v>3416425</v>
      </c>
      <c r="J37" s="2">
        <v>17</v>
      </c>
      <c r="K37" s="2">
        <v>28</v>
      </c>
      <c r="L37" s="2">
        <v>48</v>
      </c>
      <c r="M37" s="2">
        <f t="shared" si="13"/>
        <v>15.0093</v>
      </c>
      <c r="N37" s="2">
        <f t="shared" si="14"/>
        <v>11.106882</v>
      </c>
      <c r="O37" s="6">
        <f t="shared" si="15"/>
        <v>611535.106882</v>
      </c>
      <c r="P37" s="2">
        <f t="shared" si="16"/>
        <v>10.056231</v>
      </c>
      <c r="Q37" s="6">
        <f t="shared" si="17"/>
        <v>3416435.056231</v>
      </c>
      <c r="R37" s="2">
        <f t="shared" si="18"/>
        <v>7.981024</v>
      </c>
      <c r="S37" s="9">
        <f t="shared" ref="S37:S65" si="19">S36+R36</f>
        <v>341.35006</v>
      </c>
      <c r="T37">
        <v>34</v>
      </c>
      <c r="U37">
        <v>35</v>
      </c>
      <c r="W37">
        <v>17</v>
      </c>
    </row>
    <row r="38" ht="14.25" spans="1:23">
      <c r="A38">
        <v>35</v>
      </c>
      <c r="B38">
        <v>36</v>
      </c>
      <c r="C38">
        <v>50</v>
      </c>
      <c r="D38">
        <v>40</v>
      </c>
      <c r="E38">
        <v>28</v>
      </c>
      <c r="G38">
        <v>35</v>
      </c>
      <c r="H38" s="4">
        <v>611535</v>
      </c>
      <c r="I38" s="4">
        <v>3416435</v>
      </c>
      <c r="J38" s="2">
        <v>40</v>
      </c>
      <c r="K38" s="2">
        <v>28</v>
      </c>
      <c r="L38" s="2">
        <v>50</v>
      </c>
      <c r="M38" s="2">
        <f t="shared" si="13"/>
        <v>35.316</v>
      </c>
      <c r="N38" s="2">
        <f t="shared" si="14"/>
        <v>27.19332</v>
      </c>
      <c r="O38" s="6">
        <f t="shared" si="15"/>
        <v>611562.19332</v>
      </c>
      <c r="P38" s="2">
        <f t="shared" si="16"/>
        <v>22.60224</v>
      </c>
      <c r="Q38" s="6">
        <f t="shared" si="17"/>
        <v>3416457.60224</v>
      </c>
      <c r="R38" s="2">
        <f t="shared" si="18"/>
        <v>18.77888</v>
      </c>
      <c r="S38" s="9">
        <f t="shared" si="19"/>
        <v>349.331084</v>
      </c>
      <c r="T38">
        <v>35</v>
      </c>
      <c r="U38">
        <v>36</v>
      </c>
      <c r="W38">
        <v>40</v>
      </c>
    </row>
    <row r="39" ht="14.25" spans="1:23">
      <c r="A39">
        <v>36</v>
      </c>
      <c r="B39">
        <v>37</v>
      </c>
      <c r="C39">
        <v>82</v>
      </c>
      <c r="D39">
        <v>48</v>
      </c>
      <c r="E39">
        <v>-26</v>
      </c>
      <c r="G39">
        <v>36</v>
      </c>
      <c r="H39" s="4">
        <f>O38</f>
        <v>611562.19332</v>
      </c>
      <c r="I39" s="4">
        <f>Q38</f>
        <v>3416457.60224</v>
      </c>
      <c r="J39" s="2">
        <v>49</v>
      </c>
      <c r="K39" s="2">
        <v>-25</v>
      </c>
      <c r="L39" s="2">
        <v>87</v>
      </c>
      <c r="M39" s="2">
        <f t="shared" si="13"/>
        <v>44.4087</v>
      </c>
      <c r="N39" s="2">
        <f t="shared" si="14"/>
        <v>44.4087</v>
      </c>
      <c r="O39" s="6">
        <f t="shared" si="15"/>
        <v>611606.60202</v>
      </c>
      <c r="P39" s="2">
        <f t="shared" si="16"/>
        <v>2.220435</v>
      </c>
      <c r="Q39" s="6">
        <f t="shared" si="17"/>
        <v>3416459.822675</v>
      </c>
      <c r="R39" s="2">
        <f t="shared" si="18"/>
        <v>-20.708282</v>
      </c>
      <c r="S39" s="9">
        <f t="shared" si="19"/>
        <v>368.109964</v>
      </c>
      <c r="T39">
        <v>36</v>
      </c>
      <c r="U39">
        <v>37</v>
      </c>
      <c r="W39">
        <v>49</v>
      </c>
    </row>
    <row r="40" ht="14.25" spans="1:23">
      <c r="A40">
        <v>37</v>
      </c>
      <c r="B40">
        <v>38</v>
      </c>
      <c r="C40">
        <v>37</v>
      </c>
      <c r="D40">
        <v>40</v>
      </c>
      <c r="E40">
        <v>17</v>
      </c>
      <c r="G40">
        <v>37</v>
      </c>
      <c r="H40" s="4">
        <v>611606</v>
      </c>
      <c r="I40" s="4">
        <v>3416460</v>
      </c>
      <c r="J40" s="2">
        <v>42</v>
      </c>
      <c r="K40" s="2">
        <v>17</v>
      </c>
      <c r="L40" s="2">
        <v>32</v>
      </c>
      <c r="M40" s="2">
        <f t="shared" si="13"/>
        <v>40.1646</v>
      </c>
      <c r="N40" s="2">
        <f t="shared" si="14"/>
        <v>21.287238</v>
      </c>
      <c r="O40" s="6">
        <f t="shared" si="15"/>
        <v>611627.287238</v>
      </c>
      <c r="P40" s="2">
        <f t="shared" si="16"/>
        <v>34.13991</v>
      </c>
      <c r="Q40" s="6">
        <f t="shared" si="17"/>
        <v>3416494.13991</v>
      </c>
      <c r="R40" s="2">
        <f t="shared" si="18"/>
        <v>12.279624</v>
      </c>
      <c r="S40" s="9">
        <f t="shared" si="19"/>
        <v>347.401682</v>
      </c>
      <c r="T40">
        <v>37</v>
      </c>
      <c r="U40">
        <v>38</v>
      </c>
      <c r="W40">
        <v>42</v>
      </c>
    </row>
    <row r="41" ht="14.25" spans="1:23">
      <c r="A41">
        <v>38</v>
      </c>
      <c r="B41">
        <v>39</v>
      </c>
      <c r="C41">
        <v>350</v>
      </c>
      <c r="D41">
        <v>50</v>
      </c>
      <c r="E41">
        <v>-11</v>
      </c>
      <c r="G41">
        <v>38</v>
      </c>
      <c r="H41" s="4">
        <v>611627</v>
      </c>
      <c r="I41" s="4">
        <v>3416494</v>
      </c>
      <c r="J41" s="2">
        <v>50</v>
      </c>
      <c r="K41" s="2">
        <v>-13</v>
      </c>
      <c r="L41" s="2">
        <v>-2</v>
      </c>
      <c r="M41" s="2">
        <f t="shared" si="13"/>
        <v>48.72</v>
      </c>
      <c r="N41" s="2">
        <f t="shared" si="14"/>
        <v>-1.4616</v>
      </c>
      <c r="O41" s="6">
        <f t="shared" si="15"/>
        <v>611625.5384</v>
      </c>
      <c r="P41" s="2">
        <f t="shared" si="16"/>
        <v>48.72</v>
      </c>
      <c r="Q41" s="6">
        <f t="shared" si="17"/>
        <v>3416542.72</v>
      </c>
      <c r="R41" s="2">
        <f t="shared" si="18"/>
        <v>-11.24755</v>
      </c>
      <c r="S41" s="9">
        <f t="shared" si="19"/>
        <v>359.681306</v>
      </c>
      <c r="T41">
        <v>38</v>
      </c>
      <c r="U41">
        <v>39</v>
      </c>
      <c r="W41">
        <v>50</v>
      </c>
    </row>
    <row r="42" ht="14.25" spans="1:23">
      <c r="A42">
        <v>39</v>
      </c>
      <c r="B42">
        <v>40</v>
      </c>
      <c r="C42">
        <v>47</v>
      </c>
      <c r="D42">
        <v>45</v>
      </c>
      <c r="E42">
        <v>-3</v>
      </c>
      <c r="G42">
        <v>39</v>
      </c>
      <c r="H42" s="4">
        <v>611625</v>
      </c>
      <c r="I42" s="4">
        <v>3416543</v>
      </c>
      <c r="J42" s="2">
        <v>42</v>
      </c>
      <c r="K42" s="2">
        <v>-1</v>
      </c>
      <c r="L42" s="2">
        <v>44</v>
      </c>
      <c r="M42" s="2">
        <f t="shared" si="13"/>
        <v>41.9916</v>
      </c>
      <c r="N42" s="2">
        <f t="shared" si="14"/>
        <v>28.974204</v>
      </c>
      <c r="O42" s="6">
        <f t="shared" si="15"/>
        <v>611653.974204</v>
      </c>
      <c r="P42" s="2">
        <f t="shared" si="16"/>
        <v>30.233952</v>
      </c>
      <c r="Q42" s="6">
        <f t="shared" si="17"/>
        <v>3416573.233952</v>
      </c>
      <c r="R42" s="2">
        <f t="shared" si="18"/>
        <v>-0.732984</v>
      </c>
      <c r="S42" s="9">
        <f t="shared" si="19"/>
        <v>348.433756</v>
      </c>
      <c r="T42">
        <v>39</v>
      </c>
      <c r="U42">
        <v>40</v>
      </c>
      <c r="W42">
        <v>42</v>
      </c>
    </row>
    <row r="43" ht="14.25" spans="1:23">
      <c r="A43">
        <v>40</v>
      </c>
      <c r="B43">
        <v>41</v>
      </c>
      <c r="C43">
        <v>40</v>
      </c>
      <c r="D43">
        <v>33</v>
      </c>
      <c r="E43">
        <v>27</v>
      </c>
      <c r="G43">
        <v>40</v>
      </c>
      <c r="H43" s="4">
        <v>611654</v>
      </c>
      <c r="I43" s="4">
        <v>3416573</v>
      </c>
      <c r="J43" s="2">
        <v>31</v>
      </c>
      <c r="K43" s="2">
        <v>28</v>
      </c>
      <c r="L43" s="2">
        <v>38</v>
      </c>
      <c r="M43" s="2">
        <f t="shared" si="13"/>
        <v>27.3699</v>
      </c>
      <c r="N43" s="2">
        <f t="shared" si="14"/>
        <v>16.969338</v>
      </c>
      <c r="O43" s="6">
        <f t="shared" si="15"/>
        <v>611670.969338</v>
      </c>
      <c r="P43" s="2">
        <f t="shared" si="16"/>
        <v>21.622221</v>
      </c>
      <c r="Q43" s="6">
        <f t="shared" si="17"/>
        <v>3416594.622221</v>
      </c>
      <c r="R43" s="2">
        <f t="shared" si="18"/>
        <v>14.553632</v>
      </c>
      <c r="S43" s="9">
        <f t="shared" si="19"/>
        <v>347.700772</v>
      </c>
      <c r="T43">
        <v>40</v>
      </c>
      <c r="U43">
        <v>41</v>
      </c>
      <c r="W43">
        <v>31</v>
      </c>
    </row>
    <row r="44" ht="14.25" spans="1:23">
      <c r="A44">
        <v>41</v>
      </c>
      <c r="B44">
        <v>42</v>
      </c>
      <c r="C44">
        <v>60</v>
      </c>
      <c r="D44">
        <v>24</v>
      </c>
      <c r="E44">
        <v>11</v>
      </c>
      <c r="G44">
        <v>41</v>
      </c>
      <c r="H44" s="4">
        <v>611671</v>
      </c>
      <c r="I44" s="4">
        <v>3416595</v>
      </c>
      <c r="J44" s="2">
        <v>26</v>
      </c>
      <c r="K44" s="2">
        <v>11</v>
      </c>
      <c r="L44" s="2">
        <v>61</v>
      </c>
      <c r="M44" s="2">
        <f t="shared" si="13"/>
        <v>25.5216</v>
      </c>
      <c r="N44" s="2">
        <f t="shared" si="14"/>
        <v>22.203792</v>
      </c>
      <c r="O44" s="6">
        <f t="shared" si="15"/>
        <v>611693.203792</v>
      </c>
      <c r="P44" s="2">
        <f t="shared" si="16"/>
        <v>12.250368</v>
      </c>
      <c r="Q44" s="6">
        <f t="shared" si="17"/>
        <v>3416607.250368</v>
      </c>
      <c r="R44" s="2">
        <f t="shared" si="18"/>
        <v>4.961034</v>
      </c>
      <c r="S44" s="9">
        <f t="shared" si="19"/>
        <v>362.254404</v>
      </c>
      <c r="T44">
        <v>41</v>
      </c>
      <c r="U44">
        <v>42</v>
      </c>
      <c r="W44">
        <v>26</v>
      </c>
    </row>
    <row r="45" ht="14.25" spans="1:23">
      <c r="A45">
        <v>42</v>
      </c>
      <c r="B45">
        <v>43</v>
      </c>
      <c r="C45">
        <v>33</v>
      </c>
      <c r="D45">
        <v>14</v>
      </c>
      <c r="E45">
        <v>-32</v>
      </c>
      <c r="G45">
        <v>42</v>
      </c>
      <c r="H45" s="4">
        <v>611693</v>
      </c>
      <c r="I45" s="4">
        <v>3416607</v>
      </c>
      <c r="J45" s="2">
        <v>13</v>
      </c>
      <c r="K45" s="2">
        <v>-37</v>
      </c>
      <c r="L45" s="2">
        <v>17</v>
      </c>
      <c r="M45" s="2">
        <f t="shared" si="13"/>
        <v>10.3818</v>
      </c>
      <c r="N45" s="2">
        <f t="shared" si="14"/>
        <v>3.010722</v>
      </c>
      <c r="O45" s="6">
        <f t="shared" si="15"/>
        <v>611696.010722</v>
      </c>
      <c r="P45" s="2">
        <f t="shared" si="16"/>
        <v>9.966528</v>
      </c>
      <c r="Q45" s="6">
        <f t="shared" si="17"/>
        <v>3416616.966528</v>
      </c>
      <c r="R45" s="2">
        <f t="shared" si="18"/>
        <v>-7.823595</v>
      </c>
      <c r="S45" s="9">
        <f t="shared" si="19"/>
        <v>367.215438</v>
      </c>
      <c r="T45">
        <v>42</v>
      </c>
      <c r="U45">
        <v>43</v>
      </c>
      <c r="W45">
        <v>13</v>
      </c>
    </row>
    <row r="46" ht="14.25" spans="1:23">
      <c r="A46">
        <v>43</v>
      </c>
      <c r="B46">
        <v>44</v>
      </c>
      <c r="C46">
        <v>43</v>
      </c>
      <c r="D46">
        <v>16</v>
      </c>
      <c r="E46">
        <v>-35</v>
      </c>
      <c r="G46">
        <v>43</v>
      </c>
      <c r="H46" s="4">
        <v>611696</v>
      </c>
      <c r="I46" s="4">
        <v>3416617</v>
      </c>
      <c r="J46" s="2">
        <v>19</v>
      </c>
      <c r="K46" s="2">
        <v>-29</v>
      </c>
      <c r="L46" s="2">
        <v>43</v>
      </c>
      <c r="M46" s="2">
        <f t="shared" si="13"/>
        <v>16.6174</v>
      </c>
      <c r="N46" s="2">
        <f t="shared" si="14"/>
        <v>11.299832</v>
      </c>
      <c r="O46" s="6">
        <f t="shared" si="15"/>
        <v>611707.299832</v>
      </c>
      <c r="P46" s="2">
        <f t="shared" si="16"/>
        <v>12.130702</v>
      </c>
      <c r="Q46" s="6">
        <f t="shared" si="17"/>
        <v>3416629.130702</v>
      </c>
      <c r="R46" s="2">
        <f t="shared" si="18"/>
        <v>-9.21139</v>
      </c>
      <c r="S46" s="9">
        <f t="shared" si="19"/>
        <v>359.391843</v>
      </c>
      <c r="T46">
        <v>43</v>
      </c>
      <c r="U46">
        <v>44</v>
      </c>
      <c r="W46">
        <v>19</v>
      </c>
    </row>
    <row r="47" ht="14.25" spans="1:23">
      <c r="A47">
        <v>44</v>
      </c>
      <c r="B47">
        <v>45</v>
      </c>
      <c r="C47">
        <v>42</v>
      </c>
      <c r="D47">
        <v>30</v>
      </c>
      <c r="E47">
        <v>-28</v>
      </c>
      <c r="G47">
        <v>44</v>
      </c>
      <c r="H47" s="4">
        <v>611707</v>
      </c>
      <c r="I47" s="4">
        <v>3416629</v>
      </c>
      <c r="J47" s="2">
        <v>28</v>
      </c>
      <c r="K47" s="2">
        <v>-30</v>
      </c>
      <c r="L47" s="2">
        <v>52</v>
      </c>
      <c r="M47" s="2">
        <f t="shared" si="13"/>
        <v>24.248</v>
      </c>
      <c r="N47" s="2">
        <f t="shared" si="14"/>
        <v>19.15592</v>
      </c>
      <c r="O47" s="6">
        <f t="shared" si="15"/>
        <v>611726.15592</v>
      </c>
      <c r="P47" s="2">
        <f t="shared" si="16"/>
        <v>15.03376</v>
      </c>
      <c r="Q47" s="6">
        <f t="shared" si="17"/>
        <v>3416644.03376</v>
      </c>
      <c r="R47" s="2">
        <f t="shared" si="18"/>
        <v>-14</v>
      </c>
      <c r="S47" s="9">
        <f t="shared" si="19"/>
        <v>350.180453</v>
      </c>
      <c r="T47">
        <v>44</v>
      </c>
      <c r="U47">
        <v>45</v>
      </c>
      <c r="W47">
        <v>28</v>
      </c>
    </row>
    <row r="48" ht="14.25" spans="1:23">
      <c r="A48">
        <v>45</v>
      </c>
      <c r="B48">
        <v>46</v>
      </c>
      <c r="C48">
        <v>40</v>
      </c>
      <c r="D48">
        <v>34</v>
      </c>
      <c r="E48">
        <v>10</v>
      </c>
      <c r="G48">
        <v>45</v>
      </c>
      <c r="H48" s="4">
        <v>611726</v>
      </c>
      <c r="I48" s="4">
        <v>3416644</v>
      </c>
      <c r="J48" s="2">
        <v>35</v>
      </c>
      <c r="K48" s="2">
        <v>10</v>
      </c>
      <c r="L48" s="2">
        <v>36</v>
      </c>
      <c r="M48" s="2">
        <f t="shared" si="13"/>
        <v>34.468</v>
      </c>
      <c r="N48" s="2">
        <f t="shared" si="14"/>
        <v>20.33612</v>
      </c>
      <c r="O48" s="6">
        <f t="shared" si="15"/>
        <v>611746.33612</v>
      </c>
      <c r="P48" s="2">
        <f t="shared" si="16"/>
        <v>27.91908</v>
      </c>
      <c r="Q48" s="6">
        <f t="shared" si="17"/>
        <v>3416671.91908</v>
      </c>
      <c r="R48" s="2">
        <f t="shared" si="18"/>
        <v>6.07768</v>
      </c>
      <c r="S48" s="9">
        <f t="shared" si="19"/>
        <v>336.180453</v>
      </c>
      <c r="T48">
        <v>45</v>
      </c>
      <c r="U48">
        <v>46</v>
      </c>
      <c r="W48">
        <v>35</v>
      </c>
    </row>
    <row r="49" ht="14.25" spans="1:23">
      <c r="A49">
        <v>46</v>
      </c>
      <c r="B49">
        <v>47</v>
      </c>
      <c r="C49">
        <v>50</v>
      </c>
      <c r="D49">
        <v>22</v>
      </c>
      <c r="E49">
        <v>-23</v>
      </c>
      <c r="G49">
        <v>46</v>
      </c>
      <c r="H49" s="4">
        <v>611746</v>
      </c>
      <c r="I49" s="4">
        <v>3416672</v>
      </c>
      <c r="J49" s="2">
        <v>22</v>
      </c>
      <c r="K49" s="2">
        <v>-24</v>
      </c>
      <c r="L49" s="2">
        <v>49</v>
      </c>
      <c r="M49" s="2">
        <f t="shared" si="13"/>
        <v>20.097</v>
      </c>
      <c r="N49" s="2">
        <f t="shared" si="14"/>
        <v>15.07275</v>
      </c>
      <c r="O49" s="6">
        <f t="shared" si="15"/>
        <v>611761.07275</v>
      </c>
      <c r="P49" s="2">
        <f t="shared" si="16"/>
        <v>13.26402</v>
      </c>
      <c r="Q49" s="6">
        <f t="shared" si="17"/>
        <v>3416685.26402</v>
      </c>
      <c r="R49" s="2">
        <f t="shared" si="18"/>
        <v>-8.948214</v>
      </c>
      <c r="S49" s="9">
        <f t="shared" si="19"/>
        <v>342.258133</v>
      </c>
      <c r="T49">
        <v>46</v>
      </c>
      <c r="U49">
        <v>47</v>
      </c>
      <c r="W49">
        <v>22</v>
      </c>
    </row>
    <row r="50" ht="14.25" spans="1:23">
      <c r="A50">
        <v>47</v>
      </c>
      <c r="B50">
        <v>48</v>
      </c>
      <c r="C50">
        <v>53</v>
      </c>
      <c r="D50">
        <v>25</v>
      </c>
      <c r="E50">
        <v>-23</v>
      </c>
      <c r="G50">
        <v>47</v>
      </c>
      <c r="H50" s="4">
        <v>611761</v>
      </c>
      <c r="I50" s="4">
        <v>3416685</v>
      </c>
      <c r="J50" s="2">
        <v>26</v>
      </c>
      <c r="K50" s="2">
        <v>-23</v>
      </c>
      <c r="L50" s="2">
        <v>54</v>
      </c>
      <c r="M50" s="2">
        <f t="shared" si="13"/>
        <v>23.933</v>
      </c>
      <c r="N50" s="2">
        <f t="shared" si="14"/>
        <v>19.38573</v>
      </c>
      <c r="O50" s="6">
        <f t="shared" si="15"/>
        <v>611780.38573</v>
      </c>
      <c r="P50" s="2">
        <f t="shared" si="16"/>
        <v>14.12047</v>
      </c>
      <c r="Q50" s="6">
        <f t="shared" si="17"/>
        <v>3416699.12047</v>
      </c>
      <c r="R50" s="2">
        <f t="shared" si="18"/>
        <v>-10.159006</v>
      </c>
      <c r="S50" s="9">
        <f t="shared" si="19"/>
        <v>333.309919</v>
      </c>
      <c r="T50">
        <v>47</v>
      </c>
      <c r="U50">
        <v>48</v>
      </c>
      <c r="W50">
        <v>26</v>
      </c>
    </row>
    <row r="51" ht="14.25" spans="1:23">
      <c r="A51">
        <v>48</v>
      </c>
      <c r="B51">
        <v>49</v>
      </c>
      <c r="C51">
        <v>8</v>
      </c>
      <c r="D51">
        <v>32</v>
      </c>
      <c r="E51">
        <v>28</v>
      </c>
      <c r="G51">
        <v>48</v>
      </c>
      <c r="H51" s="4">
        <v>611780</v>
      </c>
      <c r="I51" s="4">
        <v>3416699</v>
      </c>
      <c r="J51" s="2">
        <v>32</v>
      </c>
      <c r="K51" s="2">
        <v>28</v>
      </c>
      <c r="L51" s="2">
        <v>12</v>
      </c>
      <c r="M51" s="2">
        <f t="shared" si="13"/>
        <v>28.2528</v>
      </c>
      <c r="N51" s="2">
        <f t="shared" si="14"/>
        <v>5.933088</v>
      </c>
      <c r="O51" s="6">
        <f t="shared" si="15"/>
        <v>611785.933088</v>
      </c>
      <c r="P51" s="2">
        <f t="shared" si="16"/>
        <v>27.687744</v>
      </c>
      <c r="Q51" s="6">
        <f t="shared" si="17"/>
        <v>3416726.687744</v>
      </c>
      <c r="R51" s="2">
        <f t="shared" si="18"/>
        <v>15.023104</v>
      </c>
      <c r="S51" s="9">
        <f t="shared" si="19"/>
        <v>323.150913</v>
      </c>
      <c r="T51">
        <v>48</v>
      </c>
      <c r="U51">
        <v>49</v>
      </c>
      <c r="W51">
        <v>32</v>
      </c>
    </row>
    <row r="52" ht="14.25" spans="1:23">
      <c r="A52">
        <v>49</v>
      </c>
      <c r="B52">
        <v>50</v>
      </c>
      <c r="C52">
        <v>0</v>
      </c>
      <c r="D52">
        <v>36</v>
      </c>
      <c r="E52">
        <v>7</v>
      </c>
      <c r="G52">
        <v>49</v>
      </c>
      <c r="H52" s="4">
        <v>611786</v>
      </c>
      <c r="I52" s="4">
        <v>3416727</v>
      </c>
      <c r="J52" s="2">
        <v>36</v>
      </c>
      <c r="K52" s="2">
        <v>8</v>
      </c>
      <c r="L52" s="2">
        <v>-3</v>
      </c>
      <c r="M52" s="2">
        <f t="shared" ref="M52:M64" si="20">J52*ROUND(COS(RADIANS(K52)),4)</f>
        <v>35.6508</v>
      </c>
      <c r="N52" s="2">
        <f t="shared" ref="N52:N64" si="21">M52*ROUND(SIN(RADIANS(L52)),2)</f>
        <v>-1.78254</v>
      </c>
      <c r="O52" s="6">
        <f t="shared" ref="O52:O64" si="22">H52+N52</f>
        <v>611784.21746</v>
      </c>
      <c r="P52" s="2">
        <f t="shared" ref="P52:P64" si="23">M52*ROUND(COS(RADIANS(L52)),2)</f>
        <v>35.6508</v>
      </c>
      <c r="Q52" s="6">
        <f t="shared" ref="Q52:Q64" si="24">I52+P52</f>
        <v>3416762.6508</v>
      </c>
      <c r="R52" s="2">
        <f t="shared" ref="R52:R64" si="25">J52*ROUND(SIN(RADIANS(K52)),6)</f>
        <v>5.010228</v>
      </c>
      <c r="S52" s="9">
        <f t="shared" si="19"/>
        <v>338.174017</v>
      </c>
      <c r="T52">
        <v>49</v>
      </c>
      <c r="U52">
        <v>50</v>
      </c>
      <c r="W52">
        <v>36</v>
      </c>
    </row>
    <row r="53" ht="14.25" spans="1:23">
      <c r="A53">
        <v>50</v>
      </c>
      <c r="B53">
        <v>51</v>
      </c>
      <c r="C53">
        <v>72</v>
      </c>
      <c r="D53">
        <v>17</v>
      </c>
      <c r="E53">
        <v>6</v>
      </c>
      <c r="G53">
        <v>50</v>
      </c>
      <c r="H53" s="4">
        <v>611784</v>
      </c>
      <c r="I53" s="4">
        <v>3416763</v>
      </c>
      <c r="J53" s="2">
        <v>17</v>
      </c>
      <c r="K53" s="2">
        <v>7</v>
      </c>
      <c r="L53" s="2">
        <v>73</v>
      </c>
      <c r="M53" s="2">
        <f t="shared" si="20"/>
        <v>16.8725</v>
      </c>
      <c r="N53" s="2">
        <f t="shared" si="21"/>
        <v>16.1976</v>
      </c>
      <c r="O53" s="6">
        <f t="shared" si="22"/>
        <v>611800.1976</v>
      </c>
      <c r="P53" s="2">
        <f t="shared" si="23"/>
        <v>4.893025</v>
      </c>
      <c r="Q53" s="6">
        <f t="shared" si="24"/>
        <v>3416767.893025</v>
      </c>
      <c r="R53" s="2">
        <f t="shared" si="25"/>
        <v>2.071773</v>
      </c>
      <c r="S53" s="9">
        <f t="shared" si="19"/>
        <v>343.184245</v>
      </c>
      <c r="T53">
        <v>50</v>
      </c>
      <c r="U53">
        <v>51</v>
      </c>
      <c r="W53">
        <v>17</v>
      </c>
    </row>
    <row r="54" ht="14.25" spans="1:23">
      <c r="A54">
        <v>51</v>
      </c>
      <c r="B54">
        <v>52</v>
      </c>
      <c r="C54">
        <v>75</v>
      </c>
      <c r="D54">
        <v>14</v>
      </c>
      <c r="E54">
        <v>5</v>
      </c>
      <c r="G54">
        <v>51</v>
      </c>
      <c r="H54" s="4">
        <v>611800</v>
      </c>
      <c r="I54" s="4">
        <v>3416768</v>
      </c>
      <c r="J54" s="2">
        <v>14</v>
      </c>
      <c r="K54" s="2">
        <v>4</v>
      </c>
      <c r="L54" s="2">
        <v>73</v>
      </c>
      <c r="M54" s="2">
        <f t="shared" si="20"/>
        <v>13.9664</v>
      </c>
      <c r="N54" s="2">
        <f t="shared" si="21"/>
        <v>13.407744</v>
      </c>
      <c r="O54" s="6">
        <f t="shared" si="22"/>
        <v>611813.407744</v>
      </c>
      <c r="P54" s="2">
        <f t="shared" si="23"/>
        <v>4.050256</v>
      </c>
      <c r="Q54" s="6">
        <f t="shared" si="24"/>
        <v>3416772.050256</v>
      </c>
      <c r="R54" s="2">
        <f t="shared" si="25"/>
        <v>0.976584</v>
      </c>
      <c r="S54" s="9">
        <f t="shared" si="19"/>
        <v>345.256018</v>
      </c>
      <c r="T54">
        <v>51</v>
      </c>
      <c r="U54">
        <v>52</v>
      </c>
      <c r="W54">
        <v>14</v>
      </c>
    </row>
    <row r="55" ht="14.25" spans="1:23">
      <c r="A55">
        <v>52</v>
      </c>
      <c r="B55">
        <v>53</v>
      </c>
      <c r="C55">
        <v>55</v>
      </c>
      <c r="D55">
        <v>63</v>
      </c>
      <c r="E55">
        <v>-18</v>
      </c>
      <c r="G55">
        <v>52</v>
      </c>
      <c r="H55" s="4">
        <v>611813</v>
      </c>
      <c r="I55" s="4">
        <v>3416772</v>
      </c>
      <c r="J55" s="2">
        <v>30</v>
      </c>
      <c r="K55" s="2">
        <v>-19</v>
      </c>
      <c r="L55" s="2">
        <v>55</v>
      </c>
      <c r="M55" s="2">
        <f t="shared" si="20"/>
        <v>28.365</v>
      </c>
      <c r="N55" s="2">
        <f t="shared" si="21"/>
        <v>23.2593</v>
      </c>
      <c r="O55" s="6">
        <f t="shared" si="22"/>
        <v>611836.2593</v>
      </c>
      <c r="P55" s="2">
        <f t="shared" si="23"/>
        <v>16.16805</v>
      </c>
      <c r="Q55" s="6">
        <f t="shared" si="24"/>
        <v>3416788.16805</v>
      </c>
      <c r="R55" s="2">
        <f t="shared" si="25"/>
        <v>-9.76704</v>
      </c>
      <c r="S55" s="9">
        <f t="shared" si="19"/>
        <v>346.232602</v>
      </c>
      <c r="T55">
        <v>52</v>
      </c>
      <c r="U55">
        <v>53</v>
      </c>
      <c r="W55">
        <v>63</v>
      </c>
    </row>
    <row r="56" ht="14.25" spans="1:23">
      <c r="A56">
        <v>53</v>
      </c>
      <c r="B56">
        <v>54</v>
      </c>
      <c r="C56">
        <v>35</v>
      </c>
      <c r="D56">
        <v>31</v>
      </c>
      <c r="E56">
        <v>-15</v>
      </c>
      <c r="G56">
        <v>53</v>
      </c>
      <c r="H56" s="4">
        <f>O55</f>
        <v>611836.2593</v>
      </c>
      <c r="I56" s="4">
        <f>Q55</f>
        <v>3416788.16805</v>
      </c>
      <c r="J56" s="2">
        <v>34</v>
      </c>
      <c r="K56" s="2">
        <v>-14</v>
      </c>
      <c r="L56" s="2">
        <v>43</v>
      </c>
      <c r="M56" s="2">
        <f t="shared" si="20"/>
        <v>32.9902</v>
      </c>
      <c r="N56" s="2">
        <f t="shared" si="21"/>
        <v>22.433336</v>
      </c>
      <c r="O56" s="6">
        <f t="shared" si="22"/>
        <v>611858.692636</v>
      </c>
      <c r="P56" s="2">
        <f t="shared" si="23"/>
        <v>24.082846</v>
      </c>
      <c r="Q56" s="6">
        <f t="shared" si="24"/>
        <v>3416812.250896</v>
      </c>
      <c r="R56" s="2">
        <f t="shared" si="25"/>
        <v>-8.225348</v>
      </c>
      <c r="S56" s="9">
        <f t="shared" si="19"/>
        <v>336.465562</v>
      </c>
      <c r="T56">
        <v>53</v>
      </c>
      <c r="U56">
        <v>54</v>
      </c>
      <c r="W56">
        <v>34</v>
      </c>
    </row>
    <row r="57" ht="14.25" spans="1:23">
      <c r="A57">
        <v>54</v>
      </c>
      <c r="B57">
        <v>55</v>
      </c>
      <c r="C57">
        <v>45</v>
      </c>
      <c r="D57">
        <v>22</v>
      </c>
      <c r="E57">
        <v>-25</v>
      </c>
      <c r="G57">
        <v>54</v>
      </c>
      <c r="H57" s="4">
        <v>611884</v>
      </c>
      <c r="I57" s="4">
        <v>3416830</v>
      </c>
      <c r="J57" s="2">
        <v>21</v>
      </c>
      <c r="K57" s="2">
        <v>-26</v>
      </c>
      <c r="L57" s="2">
        <v>41</v>
      </c>
      <c r="M57" s="2">
        <f t="shared" si="20"/>
        <v>18.8748</v>
      </c>
      <c r="N57" s="2">
        <f t="shared" si="21"/>
        <v>12.457368</v>
      </c>
      <c r="O57" s="6">
        <f t="shared" si="22"/>
        <v>611896.457368</v>
      </c>
      <c r="P57" s="2">
        <f t="shared" si="23"/>
        <v>14.1561</v>
      </c>
      <c r="Q57" s="6">
        <f t="shared" si="24"/>
        <v>3416844.1561</v>
      </c>
      <c r="R57" s="2">
        <f t="shared" si="25"/>
        <v>-9.205791</v>
      </c>
      <c r="S57" s="9">
        <f t="shared" si="19"/>
        <v>328.240214</v>
      </c>
      <c r="T57">
        <v>54</v>
      </c>
      <c r="U57">
        <v>55</v>
      </c>
      <c r="W57">
        <v>21</v>
      </c>
    </row>
    <row r="58" ht="14.25" spans="1:23">
      <c r="A58">
        <v>55</v>
      </c>
      <c r="B58">
        <v>56</v>
      </c>
      <c r="C58">
        <v>345</v>
      </c>
      <c r="D58">
        <v>33</v>
      </c>
      <c r="E58">
        <v>-23</v>
      </c>
      <c r="G58">
        <v>55</v>
      </c>
      <c r="H58" s="4">
        <v>611896</v>
      </c>
      <c r="I58" s="4">
        <v>3416844</v>
      </c>
      <c r="J58" s="2">
        <v>34</v>
      </c>
      <c r="K58" s="2">
        <v>-22</v>
      </c>
      <c r="L58" s="2">
        <v>-20</v>
      </c>
      <c r="M58" s="2">
        <f t="shared" si="20"/>
        <v>31.5248</v>
      </c>
      <c r="N58" s="2">
        <f t="shared" si="21"/>
        <v>-10.718432</v>
      </c>
      <c r="O58" s="6">
        <f t="shared" si="22"/>
        <v>611885.281568</v>
      </c>
      <c r="P58" s="2">
        <f t="shared" si="23"/>
        <v>29.633312</v>
      </c>
      <c r="Q58" s="6">
        <f t="shared" si="24"/>
        <v>3416873.633312</v>
      </c>
      <c r="R58" s="2">
        <f t="shared" si="25"/>
        <v>-12.736638</v>
      </c>
      <c r="S58" s="9">
        <f t="shared" si="19"/>
        <v>319.034423</v>
      </c>
      <c r="T58">
        <v>55</v>
      </c>
      <c r="U58">
        <v>56</v>
      </c>
      <c r="W58">
        <v>34</v>
      </c>
    </row>
    <row r="59" ht="14.25" spans="1:23">
      <c r="A59">
        <v>56</v>
      </c>
      <c r="B59">
        <v>57</v>
      </c>
      <c r="C59">
        <v>5</v>
      </c>
      <c r="D59">
        <v>22</v>
      </c>
      <c r="E59">
        <v>-27</v>
      </c>
      <c r="G59">
        <v>56</v>
      </c>
      <c r="H59" s="4">
        <v>611885</v>
      </c>
      <c r="I59" s="4">
        <v>3416874</v>
      </c>
      <c r="J59" s="2">
        <v>23</v>
      </c>
      <c r="K59" s="2">
        <v>-25</v>
      </c>
      <c r="L59" s="2">
        <v>8</v>
      </c>
      <c r="M59" s="2">
        <f t="shared" si="20"/>
        <v>20.8449</v>
      </c>
      <c r="N59" s="2">
        <f t="shared" si="21"/>
        <v>2.918286</v>
      </c>
      <c r="O59" s="6">
        <f t="shared" si="22"/>
        <v>611887.918286</v>
      </c>
      <c r="P59" s="2">
        <f t="shared" si="23"/>
        <v>20.636451</v>
      </c>
      <c r="Q59" s="6">
        <f t="shared" si="24"/>
        <v>3416894.636451</v>
      </c>
      <c r="R59" s="2">
        <f t="shared" si="25"/>
        <v>-9.720214</v>
      </c>
      <c r="S59" s="9">
        <f t="shared" si="19"/>
        <v>306.297785</v>
      </c>
      <c r="T59">
        <v>56</v>
      </c>
      <c r="U59">
        <v>57</v>
      </c>
      <c r="W59">
        <v>23</v>
      </c>
    </row>
    <row r="60" ht="14.25" spans="1:23">
      <c r="A60">
        <v>57</v>
      </c>
      <c r="B60">
        <v>58</v>
      </c>
      <c r="C60">
        <v>15</v>
      </c>
      <c r="D60">
        <v>20</v>
      </c>
      <c r="E60">
        <v>-24</v>
      </c>
      <c r="G60">
        <v>57</v>
      </c>
      <c r="H60" s="4">
        <v>611888</v>
      </c>
      <c r="I60" s="4">
        <v>3416895</v>
      </c>
      <c r="J60" s="2">
        <v>18</v>
      </c>
      <c r="K60" s="2">
        <v>-26</v>
      </c>
      <c r="L60" s="2">
        <v>14</v>
      </c>
      <c r="M60" s="2">
        <f t="shared" si="20"/>
        <v>16.1784</v>
      </c>
      <c r="N60" s="2">
        <f t="shared" si="21"/>
        <v>3.882816</v>
      </c>
      <c r="O60" s="6">
        <f t="shared" si="22"/>
        <v>611891.882816</v>
      </c>
      <c r="P60" s="2">
        <f t="shared" si="23"/>
        <v>15.693048</v>
      </c>
      <c r="Q60" s="6">
        <f t="shared" si="24"/>
        <v>3416910.693048</v>
      </c>
      <c r="R60" s="2">
        <f t="shared" si="25"/>
        <v>-7.890678</v>
      </c>
      <c r="S60" s="9">
        <f t="shared" si="19"/>
        <v>296.577571</v>
      </c>
      <c r="T60">
        <v>57</v>
      </c>
      <c r="U60">
        <v>58</v>
      </c>
      <c r="W60">
        <v>18</v>
      </c>
    </row>
    <row r="61" ht="14.25" spans="1:23">
      <c r="A61">
        <v>58</v>
      </c>
      <c r="B61">
        <v>59</v>
      </c>
      <c r="C61">
        <v>35</v>
      </c>
      <c r="D61">
        <v>22</v>
      </c>
      <c r="E61">
        <v>-23</v>
      </c>
      <c r="G61">
        <v>58</v>
      </c>
      <c r="H61" s="4">
        <v>611892</v>
      </c>
      <c r="I61" s="4">
        <v>3416911</v>
      </c>
      <c r="J61" s="2">
        <v>24</v>
      </c>
      <c r="K61" s="2">
        <v>-22</v>
      </c>
      <c r="L61" s="2">
        <v>39</v>
      </c>
      <c r="M61" s="2">
        <f t="shared" si="20"/>
        <v>22.2528</v>
      </c>
      <c r="N61" s="2">
        <f t="shared" si="21"/>
        <v>14.019264</v>
      </c>
      <c r="O61" s="6">
        <f t="shared" si="22"/>
        <v>611906.019264</v>
      </c>
      <c r="P61" s="2">
        <f t="shared" si="23"/>
        <v>17.357184</v>
      </c>
      <c r="Q61" s="6">
        <f t="shared" si="24"/>
        <v>3416928.357184</v>
      </c>
      <c r="R61" s="2">
        <f t="shared" si="25"/>
        <v>-8.990568</v>
      </c>
      <c r="S61" s="9">
        <f t="shared" si="19"/>
        <v>288.686893</v>
      </c>
      <c r="T61">
        <v>58</v>
      </c>
      <c r="U61">
        <v>59</v>
      </c>
      <c r="W61">
        <v>24</v>
      </c>
    </row>
    <row r="62" ht="14.25" spans="1:23">
      <c r="A62">
        <v>59</v>
      </c>
      <c r="B62">
        <v>60</v>
      </c>
      <c r="C62">
        <v>40</v>
      </c>
      <c r="D62">
        <v>18</v>
      </c>
      <c r="E62">
        <v>-7</v>
      </c>
      <c r="G62">
        <v>59</v>
      </c>
      <c r="H62" s="4">
        <v>611906</v>
      </c>
      <c r="I62" s="4">
        <v>3416928</v>
      </c>
      <c r="J62" s="2">
        <v>17</v>
      </c>
      <c r="K62" s="2">
        <v>-7</v>
      </c>
      <c r="L62" s="2">
        <v>33</v>
      </c>
      <c r="M62" s="2">
        <f t="shared" si="20"/>
        <v>16.8725</v>
      </c>
      <c r="N62" s="2">
        <f t="shared" si="21"/>
        <v>9.11115</v>
      </c>
      <c r="O62" s="6">
        <f t="shared" si="22"/>
        <v>611915.11115</v>
      </c>
      <c r="P62" s="2">
        <f t="shared" si="23"/>
        <v>14.1729</v>
      </c>
      <c r="Q62" s="6">
        <f t="shared" si="24"/>
        <v>3416942.1729</v>
      </c>
      <c r="R62" s="2">
        <f t="shared" si="25"/>
        <v>-2.071773</v>
      </c>
      <c r="S62" s="9">
        <f t="shared" si="19"/>
        <v>279.696325</v>
      </c>
      <c r="T62">
        <v>59</v>
      </c>
      <c r="U62">
        <v>60</v>
      </c>
      <c r="W62">
        <v>17</v>
      </c>
    </row>
    <row r="63" ht="14.25" spans="1:23">
      <c r="A63">
        <v>60</v>
      </c>
      <c r="B63">
        <v>61</v>
      </c>
      <c r="C63">
        <v>19</v>
      </c>
      <c r="D63">
        <v>15</v>
      </c>
      <c r="E63">
        <v>-11</v>
      </c>
      <c r="G63">
        <v>60</v>
      </c>
      <c r="H63" s="4">
        <v>611915</v>
      </c>
      <c r="I63" s="4">
        <v>3416942</v>
      </c>
      <c r="J63" s="2">
        <v>14</v>
      </c>
      <c r="K63" s="2">
        <v>-11</v>
      </c>
      <c r="L63" s="2">
        <v>20</v>
      </c>
      <c r="M63" s="2">
        <f t="shared" si="20"/>
        <v>13.7424</v>
      </c>
      <c r="N63" s="2">
        <f t="shared" si="21"/>
        <v>4.672416</v>
      </c>
      <c r="O63" s="6">
        <f t="shared" si="22"/>
        <v>611919.672416</v>
      </c>
      <c r="P63" s="2">
        <f t="shared" si="23"/>
        <v>12.917856</v>
      </c>
      <c r="Q63" s="6">
        <f t="shared" si="24"/>
        <v>3416954.917856</v>
      </c>
      <c r="R63" s="2">
        <f t="shared" si="25"/>
        <v>-2.671326</v>
      </c>
      <c r="S63" s="9">
        <f t="shared" si="19"/>
        <v>277.624552</v>
      </c>
      <c r="T63">
        <v>60</v>
      </c>
      <c r="U63">
        <v>61</v>
      </c>
      <c r="W63">
        <v>15</v>
      </c>
    </row>
    <row r="64" ht="14.25" spans="1:23">
      <c r="A64">
        <v>61</v>
      </c>
      <c r="B64">
        <v>62</v>
      </c>
      <c r="C64">
        <v>50</v>
      </c>
      <c r="D64">
        <v>35</v>
      </c>
      <c r="E64">
        <v>-26</v>
      </c>
      <c r="G64">
        <v>61</v>
      </c>
      <c r="H64" s="4">
        <f>O63</f>
        <v>611919.672416</v>
      </c>
      <c r="I64" s="4">
        <f>Q63</f>
        <v>3416954.917856</v>
      </c>
      <c r="J64" s="2">
        <v>36</v>
      </c>
      <c r="K64" s="2">
        <v>-25</v>
      </c>
      <c r="L64" s="2">
        <v>60</v>
      </c>
      <c r="M64" s="2">
        <f t="shared" si="20"/>
        <v>32.6268</v>
      </c>
      <c r="N64" s="2">
        <f t="shared" si="21"/>
        <v>28.385316</v>
      </c>
      <c r="O64" s="6">
        <f t="shared" si="22"/>
        <v>611948.057732</v>
      </c>
      <c r="P64" s="2">
        <f t="shared" si="23"/>
        <v>16.3134</v>
      </c>
      <c r="Q64" s="6">
        <f t="shared" si="24"/>
        <v>3416971.231256</v>
      </c>
      <c r="R64" s="2">
        <f t="shared" si="25"/>
        <v>-15.214248</v>
      </c>
      <c r="S64" s="9">
        <f t="shared" si="19"/>
        <v>274.953226</v>
      </c>
      <c r="T64">
        <v>61</v>
      </c>
      <c r="U64">
        <v>62</v>
      </c>
      <c r="W64">
        <v>36</v>
      </c>
    </row>
    <row r="65" ht="14.25" spans="1:20">
      <c r="A65">
        <v>62</v>
      </c>
      <c r="G65">
        <v>62</v>
      </c>
      <c r="H65" s="4">
        <v>611948</v>
      </c>
      <c r="I65" s="4">
        <v>3416972</v>
      </c>
      <c r="S65" s="9">
        <f t="shared" si="19"/>
        <v>259.738978</v>
      </c>
      <c r="T65">
        <v>62</v>
      </c>
    </row>
    <row r="66" ht="14.25" spans="8:9">
      <c r="H66" s="3">
        <f>O65</f>
        <v>0</v>
      </c>
      <c r="I66" s="3">
        <f>Q65</f>
        <v>0</v>
      </c>
    </row>
    <row r="67" spans="8:9">
      <c r="H67">
        <f>H65-H64</f>
        <v>28.3275839999551</v>
      </c>
      <c r="I67">
        <f>I65-I64</f>
        <v>17.0821440001018</v>
      </c>
    </row>
    <row r="70" spans="8:9">
      <c r="H70">
        <v>-22.2276989999227</v>
      </c>
      <c r="I70">
        <v>7.97979900147766</v>
      </c>
    </row>
    <row r="72" ht="14.25" spans="7:9">
      <c r="G72" t="s">
        <v>156</v>
      </c>
      <c r="H72" s="8">
        <v>611944</v>
      </c>
      <c r="I72" s="8">
        <v>3416976</v>
      </c>
    </row>
    <row r="75" spans="6:7">
      <c r="F75">
        <v>610593</v>
      </c>
      <c r="G75">
        <v>3415278</v>
      </c>
    </row>
    <row r="76" spans="6:7">
      <c r="F76">
        <v>610623</v>
      </c>
      <c r="G76">
        <v>3415297</v>
      </c>
    </row>
    <row r="77" spans="6:7">
      <c r="F77">
        <v>610655</v>
      </c>
      <c r="G77">
        <v>3415312</v>
      </c>
    </row>
    <row r="78" spans="6:7">
      <c r="F78">
        <v>610662</v>
      </c>
      <c r="G78">
        <v>3415319</v>
      </c>
    </row>
    <row r="79" spans="6:7">
      <c r="F79">
        <v>610711</v>
      </c>
      <c r="G79">
        <v>3415338</v>
      </c>
    </row>
    <row r="80" spans="6:7">
      <c r="F80">
        <v>610769</v>
      </c>
      <c r="G80">
        <v>3415384</v>
      </c>
    </row>
    <row r="81" spans="6:7">
      <c r="F81">
        <v>610858</v>
      </c>
      <c r="G81">
        <v>3415428</v>
      </c>
    </row>
    <row r="82" spans="6:7">
      <c r="F82">
        <v>610925</v>
      </c>
      <c r="G82">
        <v>3415479</v>
      </c>
    </row>
    <row r="83" spans="6:7">
      <c r="F83">
        <v>610961</v>
      </c>
      <c r="G83">
        <v>3415552</v>
      </c>
    </row>
    <row r="84" spans="6:7">
      <c r="F84">
        <v>611007</v>
      </c>
      <c r="G84">
        <v>3415597</v>
      </c>
    </row>
    <row r="85" spans="6:7">
      <c r="F85">
        <v>611042</v>
      </c>
      <c r="G85">
        <v>3415617</v>
      </c>
    </row>
    <row r="86" spans="6:7">
      <c r="F86">
        <v>611083</v>
      </c>
      <c r="G86">
        <v>3415637</v>
      </c>
    </row>
    <row r="87" spans="6:7">
      <c r="F87">
        <v>611125</v>
      </c>
      <c r="G87">
        <v>3415700</v>
      </c>
    </row>
    <row r="88" spans="6:7">
      <c r="F88">
        <v>611154</v>
      </c>
      <c r="G88">
        <v>3415743</v>
      </c>
    </row>
    <row r="89" spans="6:7">
      <c r="F89">
        <v>611236</v>
      </c>
      <c r="G89">
        <v>3415793</v>
      </c>
    </row>
    <row r="90" spans="6:7">
      <c r="F90">
        <v>611285</v>
      </c>
      <c r="G90">
        <v>3415848</v>
      </c>
    </row>
    <row r="91" spans="6:7">
      <c r="F91">
        <v>611302</v>
      </c>
      <c r="G91">
        <v>3415862</v>
      </c>
    </row>
    <row r="92" spans="6:7">
      <c r="F92">
        <v>611293</v>
      </c>
      <c r="G92">
        <v>3415916</v>
      </c>
    </row>
    <row r="93" spans="6:7">
      <c r="F93">
        <v>611319</v>
      </c>
      <c r="G93">
        <v>3415955</v>
      </c>
    </row>
    <row r="94" spans="6:7">
      <c r="F94">
        <v>611351</v>
      </c>
      <c r="G94">
        <v>3416011</v>
      </c>
    </row>
    <row r="95" spans="6:7">
      <c r="F95">
        <v>611359</v>
      </c>
      <c r="G95">
        <v>3416054</v>
      </c>
    </row>
    <row r="96" spans="6:7">
      <c r="F96">
        <v>611367</v>
      </c>
      <c r="G96">
        <v>3416095</v>
      </c>
    </row>
    <row r="97" spans="6:7">
      <c r="F97">
        <v>611365</v>
      </c>
      <c r="G97">
        <v>3416161</v>
      </c>
    </row>
    <row r="98" spans="6:7">
      <c r="F98">
        <v>611370</v>
      </c>
      <c r="G98">
        <v>3416204</v>
      </c>
    </row>
    <row r="99" spans="6:7">
      <c r="F99">
        <v>611397</v>
      </c>
      <c r="G99">
        <v>3416263</v>
      </c>
    </row>
    <row r="100" spans="6:7">
      <c r="F100">
        <v>611399</v>
      </c>
      <c r="G100">
        <v>3416298</v>
      </c>
    </row>
    <row r="101" spans="6:7">
      <c r="F101">
        <v>611405</v>
      </c>
      <c r="G101">
        <v>3416330</v>
      </c>
    </row>
    <row r="102" spans="6:7">
      <c r="F102">
        <v>611424</v>
      </c>
      <c r="G102">
        <v>3416350</v>
      </c>
    </row>
    <row r="103" spans="6:7">
      <c r="F103">
        <v>611428</v>
      </c>
      <c r="G103">
        <v>3416366</v>
      </c>
    </row>
    <row r="104" spans="6:7">
      <c r="F104">
        <v>611454</v>
      </c>
      <c r="G104">
        <v>3416375</v>
      </c>
    </row>
    <row r="105" spans="6:7">
      <c r="F105">
        <v>611471</v>
      </c>
      <c r="G105">
        <v>3416389</v>
      </c>
    </row>
    <row r="106" spans="6:7">
      <c r="F106">
        <v>611488</v>
      </c>
      <c r="G106">
        <v>3416392</v>
      </c>
    </row>
    <row r="107" spans="6:7">
      <c r="F107">
        <v>611494</v>
      </c>
      <c r="G107">
        <v>3416401</v>
      </c>
    </row>
    <row r="108" spans="6:7">
      <c r="F108">
        <v>611512</v>
      </c>
      <c r="G108">
        <v>3416407</v>
      </c>
    </row>
    <row r="109" spans="6:7">
      <c r="F109">
        <v>611524</v>
      </c>
      <c r="G109">
        <v>3416425</v>
      </c>
    </row>
    <row r="110" spans="6:7">
      <c r="F110">
        <v>611535</v>
      </c>
      <c r="G110">
        <v>3416435</v>
      </c>
    </row>
    <row r="111" spans="6:7">
      <c r="F111">
        <v>611562</v>
      </c>
      <c r="G111">
        <v>3416458</v>
      </c>
    </row>
    <row r="112" spans="6:7">
      <c r="F112">
        <v>611606</v>
      </c>
      <c r="G112">
        <v>3416460</v>
      </c>
    </row>
    <row r="113" spans="6:7">
      <c r="F113">
        <v>611627</v>
      </c>
      <c r="G113">
        <v>3416494</v>
      </c>
    </row>
    <row r="114" spans="6:7">
      <c r="F114">
        <v>611625</v>
      </c>
      <c r="G114">
        <v>3416543</v>
      </c>
    </row>
    <row r="115" spans="6:7">
      <c r="F115">
        <v>611654</v>
      </c>
      <c r="G115">
        <v>3416573</v>
      </c>
    </row>
    <row r="116" spans="6:7">
      <c r="F116">
        <v>611671</v>
      </c>
      <c r="G116">
        <v>3416595</v>
      </c>
    </row>
    <row r="117" spans="6:7">
      <c r="F117">
        <v>611693</v>
      </c>
      <c r="G117">
        <v>3416607</v>
      </c>
    </row>
    <row r="118" spans="6:7">
      <c r="F118">
        <v>611696</v>
      </c>
      <c r="G118">
        <v>3416617</v>
      </c>
    </row>
    <row r="119" spans="6:7">
      <c r="F119">
        <v>611707</v>
      </c>
      <c r="G119">
        <v>3416629</v>
      </c>
    </row>
    <row r="120" spans="6:7">
      <c r="F120">
        <v>611726</v>
      </c>
      <c r="G120">
        <v>3416644</v>
      </c>
    </row>
    <row r="121" spans="6:7">
      <c r="F121">
        <v>611746</v>
      </c>
      <c r="G121">
        <v>3416672</v>
      </c>
    </row>
    <row r="122" spans="6:7">
      <c r="F122">
        <v>611761</v>
      </c>
      <c r="G122">
        <v>3416685</v>
      </c>
    </row>
    <row r="123" spans="6:7">
      <c r="F123">
        <v>611780</v>
      </c>
      <c r="G123">
        <v>3416699</v>
      </c>
    </row>
    <row r="124" spans="6:7">
      <c r="F124">
        <v>611786</v>
      </c>
      <c r="G124">
        <v>3416727</v>
      </c>
    </row>
    <row r="125" spans="6:7">
      <c r="F125">
        <v>611784</v>
      </c>
      <c r="G125">
        <v>3416763</v>
      </c>
    </row>
    <row r="126" spans="6:7">
      <c r="F126">
        <v>611800</v>
      </c>
      <c r="G126">
        <v>3416768</v>
      </c>
    </row>
    <row r="127" spans="6:7">
      <c r="F127">
        <v>611813</v>
      </c>
      <c r="G127">
        <v>3416772</v>
      </c>
    </row>
    <row r="128" spans="6:7">
      <c r="F128">
        <v>611862</v>
      </c>
      <c r="G128">
        <v>3416806</v>
      </c>
    </row>
    <row r="129" spans="6:7">
      <c r="F129">
        <v>611884</v>
      </c>
      <c r="G129">
        <v>3416830</v>
      </c>
    </row>
    <row r="130" spans="6:7">
      <c r="F130">
        <v>611896</v>
      </c>
      <c r="G130">
        <v>3416844</v>
      </c>
    </row>
    <row r="131" spans="6:7">
      <c r="F131">
        <v>611885</v>
      </c>
      <c r="G131">
        <v>3416874</v>
      </c>
    </row>
    <row r="132" spans="6:7">
      <c r="F132">
        <v>611888</v>
      </c>
      <c r="G132">
        <v>3416895</v>
      </c>
    </row>
    <row r="133" spans="6:7">
      <c r="F133">
        <v>611892</v>
      </c>
      <c r="G133">
        <v>3416911</v>
      </c>
    </row>
    <row r="134" spans="6:7">
      <c r="F134">
        <v>611906</v>
      </c>
      <c r="G134">
        <v>3416928</v>
      </c>
    </row>
    <row r="135" spans="6:7">
      <c r="F135">
        <v>611915</v>
      </c>
      <c r="G135">
        <v>3416942</v>
      </c>
    </row>
    <row r="136" spans="6:7">
      <c r="F136">
        <v>611920</v>
      </c>
      <c r="G136">
        <v>3416956</v>
      </c>
    </row>
    <row r="137" ht="14.25" spans="6:7">
      <c r="F137" s="8">
        <v>611948</v>
      </c>
      <c r="G137" s="8">
        <v>3416972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PMC原始数据</vt:lpstr>
      <vt:lpstr>PMC原始数据校正</vt:lpstr>
      <vt:lpstr>PMC计算</vt:lpstr>
      <vt:lpstr>剖面校正表打印</vt:lpstr>
      <vt:lpstr>实测剖面计算表</vt:lpstr>
      <vt:lpstr>PMC坐标换算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王玉</dc:creator>
  <cp:lastModifiedBy>wyl</cp:lastModifiedBy>
  <dcterms:created xsi:type="dcterms:W3CDTF">2023-12-30T01:06:00Z</dcterms:created>
  <cp:lastPrinted>2024-11-01T09:15:00Z</cp:lastPrinted>
  <dcterms:modified xsi:type="dcterms:W3CDTF">2025-05-16T02:52:04Z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85F30F091B3B4C319CB8561EE2E3F873</vt:lpwstr>
  </property>
  <property fmtid="{D5CDD505-2E9C-101B-9397-08002B2CF9AE}" pid="3" name="KSOProductBuildVer">
    <vt:lpwstr>2052-12.1.0.20784</vt:lpwstr>
  </property>
</Properties>
</file>