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15"/>
  </bookViews>
  <sheets>
    <sheet name="DRJ1" sheetId="6" r:id="rId1"/>
    <sheet name="Sheet3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<sst xmlns="http://schemas.openxmlformats.org/spreadsheetml/2006/main" count="116" uniqueCount="55">
  <si>
    <t>库尔洛夫式</t>
  </si>
  <si>
    <t>离子</t>
  </si>
  <si>
    <t>ρ(B)／(mg/L)</t>
  </si>
  <si>
    <t>相对原子质量</t>
  </si>
  <si>
    <t>价态</t>
  </si>
  <si>
    <t>(mmol /L)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</si>
  <si>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eq/L</t>
    </r>
  </si>
  <si>
    <t>百分比</t>
  </si>
  <si>
    <t>角度</t>
  </si>
  <si>
    <t>Na+K（%)</t>
  </si>
  <si>
    <t>Na+K（meq/L)</t>
  </si>
  <si>
    <t>阳离子</t>
  </si>
  <si>
    <r>
      <rPr>
        <sz val="12"/>
        <color theme="1"/>
        <rFont val="宋体"/>
        <charset val="134"/>
      </rPr>
      <t>Na</t>
    </r>
    <r>
      <rPr>
        <vertAlign val="superscript"/>
        <sz val="12"/>
        <color theme="1"/>
        <rFont val="宋体"/>
        <charset val="134"/>
      </rPr>
      <t>＋</t>
    </r>
  </si>
  <si>
    <r>
      <rPr>
        <sz val="12"/>
        <color theme="1"/>
        <rFont val="宋体"/>
        <charset val="134"/>
      </rPr>
      <t>K</t>
    </r>
    <r>
      <rPr>
        <vertAlign val="superscript"/>
        <sz val="12"/>
        <color theme="1"/>
        <rFont val="宋体"/>
        <charset val="134"/>
      </rPr>
      <t>＋</t>
    </r>
  </si>
  <si>
    <t>Ca+Mg（%)</t>
  </si>
  <si>
    <t>Ca+Mg（meq/L)</t>
  </si>
  <si>
    <r>
      <rPr>
        <sz val="12"/>
        <color theme="1"/>
        <rFont val="宋体"/>
        <charset val="134"/>
      </rPr>
      <t>Ca</t>
    </r>
    <r>
      <rPr>
        <vertAlign val="superscript"/>
        <sz val="12"/>
        <color theme="1"/>
        <rFont val="宋体"/>
        <charset val="134"/>
      </rPr>
      <t>2＋</t>
    </r>
  </si>
  <si>
    <r>
      <rPr>
        <sz val="12"/>
        <color theme="1"/>
        <rFont val="宋体"/>
        <charset val="134"/>
      </rPr>
      <t>Mg</t>
    </r>
    <r>
      <rPr>
        <vertAlign val="superscript"/>
        <sz val="12"/>
        <color theme="1"/>
        <rFont val="宋体"/>
        <charset val="134"/>
      </rPr>
      <t>2＋</t>
    </r>
  </si>
  <si>
    <r>
      <rPr>
        <sz val="12"/>
        <color theme="1"/>
        <rFont val="宋体"/>
        <charset val="134"/>
      </rPr>
      <t>Fe</t>
    </r>
    <r>
      <rPr>
        <vertAlign val="superscript"/>
        <sz val="12"/>
        <color theme="1"/>
        <rFont val="宋体"/>
        <charset val="134"/>
      </rPr>
      <t>2＋</t>
    </r>
  </si>
  <si>
    <r>
      <rPr>
        <sz val="12"/>
        <color theme="1"/>
        <rFont val="宋体"/>
        <charset val="134"/>
      </rPr>
      <t>Fe</t>
    </r>
    <r>
      <rPr>
        <vertAlign val="superscript"/>
        <sz val="12"/>
        <color theme="1"/>
        <rFont val="宋体"/>
        <charset val="134"/>
      </rPr>
      <t>3＋</t>
    </r>
  </si>
  <si>
    <r>
      <rPr>
        <sz val="12"/>
        <color theme="1"/>
        <rFont val="宋体"/>
        <charset val="134"/>
      </rPr>
      <t>Al</t>
    </r>
    <r>
      <rPr>
        <vertAlign val="superscript"/>
        <sz val="12"/>
        <color theme="1"/>
        <rFont val="宋体"/>
        <charset val="134"/>
      </rPr>
      <t>3＋</t>
    </r>
  </si>
  <si>
    <r>
      <rPr>
        <sz val="12"/>
        <color theme="1"/>
        <rFont val="宋体"/>
        <charset val="134"/>
      </rPr>
      <t>NH</t>
    </r>
    <r>
      <rPr>
        <vertAlign val="subscript"/>
        <sz val="12"/>
        <color theme="1"/>
        <rFont val="宋体"/>
        <charset val="134"/>
      </rPr>
      <t>4</t>
    </r>
    <r>
      <rPr>
        <vertAlign val="superscript"/>
        <sz val="12"/>
        <color theme="1"/>
        <rFont val="宋体"/>
        <charset val="134"/>
      </rPr>
      <t>＋</t>
    </r>
  </si>
  <si>
    <t>总计</t>
  </si>
  <si>
    <t>/</t>
  </si>
  <si>
    <t>HCO3+CO3（%)</t>
  </si>
  <si>
    <r>
      <rPr>
        <sz val="11"/>
        <color theme="1"/>
        <rFont val="等线"/>
        <charset val="134"/>
        <scheme val="minor"/>
      </rPr>
      <t>HCO3+CO3（</t>
    </r>
    <r>
      <rPr>
        <sz val="11"/>
        <color theme="1"/>
        <rFont val="等线"/>
        <charset val="134"/>
        <scheme val="minor"/>
      </rPr>
      <t>meq/L)</t>
    </r>
  </si>
  <si>
    <t>阴离子</t>
  </si>
  <si>
    <r>
      <rPr>
        <sz val="12"/>
        <color theme="1"/>
        <rFont val="宋体"/>
        <charset val="134"/>
      </rPr>
      <t>HCO</t>
    </r>
    <r>
      <rPr>
        <vertAlign val="subscript"/>
        <sz val="12"/>
        <color theme="1"/>
        <rFont val="宋体"/>
        <charset val="134"/>
      </rPr>
      <t>3</t>
    </r>
    <r>
      <rPr>
        <vertAlign val="superscript"/>
        <sz val="12"/>
        <color theme="1"/>
        <rFont val="宋体"/>
        <charset val="134"/>
      </rPr>
      <t>-</t>
    </r>
  </si>
  <si>
    <r>
      <rPr>
        <sz val="12"/>
        <color theme="1"/>
        <rFont val="宋体"/>
        <charset val="134"/>
      </rPr>
      <t>CO</t>
    </r>
    <r>
      <rPr>
        <vertAlign val="subscript"/>
        <sz val="12"/>
        <color theme="1"/>
        <rFont val="宋体"/>
        <charset val="134"/>
      </rPr>
      <t>3</t>
    </r>
    <r>
      <rPr>
        <vertAlign val="superscript"/>
        <sz val="12"/>
        <color theme="1"/>
        <rFont val="宋体"/>
        <charset val="134"/>
      </rPr>
      <t>2-</t>
    </r>
  </si>
  <si>
    <r>
      <rPr>
        <sz val="12"/>
        <color theme="1"/>
        <rFont val="宋体"/>
        <charset val="134"/>
      </rPr>
      <t>Cl</t>
    </r>
    <r>
      <rPr>
        <vertAlign val="superscript"/>
        <sz val="12"/>
        <color theme="1"/>
        <rFont val="宋体"/>
        <charset val="134"/>
      </rPr>
      <t>-</t>
    </r>
  </si>
  <si>
    <r>
      <rPr>
        <sz val="12"/>
        <color theme="1"/>
        <rFont val="宋体"/>
        <charset val="134"/>
      </rPr>
      <t>SO</t>
    </r>
    <r>
      <rPr>
        <vertAlign val="subscript"/>
        <sz val="12"/>
        <color theme="1"/>
        <rFont val="宋体"/>
        <charset val="134"/>
      </rPr>
      <t>4</t>
    </r>
    <r>
      <rPr>
        <vertAlign val="superscript"/>
        <sz val="12"/>
        <color theme="1"/>
        <rFont val="宋体"/>
        <charset val="134"/>
      </rPr>
      <t>2-</t>
    </r>
  </si>
  <si>
    <r>
      <rPr>
        <sz val="12"/>
        <color theme="1"/>
        <rFont val="宋体"/>
        <charset val="134"/>
      </rPr>
      <t>F</t>
    </r>
    <r>
      <rPr>
        <vertAlign val="superscript"/>
        <sz val="12"/>
        <color theme="1"/>
        <rFont val="宋体"/>
        <charset val="134"/>
      </rPr>
      <t>-</t>
    </r>
  </si>
  <si>
    <r>
      <rPr>
        <sz val="12"/>
        <color theme="1"/>
        <rFont val="宋体"/>
        <charset val="134"/>
      </rPr>
      <t>NO</t>
    </r>
    <r>
      <rPr>
        <vertAlign val="subscript"/>
        <sz val="12"/>
        <color theme="1"/>
        <rFont val="宋体"/>
        <charset val="134"/>
      </rPr>
      <t>3</t>
    </r>
    <r>
      <rPr>
        <vertAlign val="superscript"/>
        <sz val="12"/>
        <color theme="1"/>
        <rFont val="宋体"/>
        <charset val="134"/>
      </rPr>
      <t>-</t>
    </r>
  </si>
  <si>
    <t>M（矿化度g/L）</t>
  </si>
  <si>
    <t>误差分析：简分析&lt;=4%</t>
  </si>
  <si>
    <t>气体</t>
  </si>
  <si>
    <t>mg/L</t>
  </si>
  <si>
    <t>g/L</t>
  </si>
  <si>
    <r>
      <rPr>
        <sz val="12"/>
        <color theme="1"/>
        <rFont val="等线"/>
        <charset val="134"/>
        <scheme val="minor"/>
      </rPr>
      <t>CO</t>
    </r>
    <r>
      <rPr>
        <vertAlign val="superscript"/>
        <sz val="12"/>
        <color theme="1"/>
        <rFont val="等线"/>
        <charset val="134"/>
        <scheme val="minor"/>
      </rPr>
      <t>2</t>
    </r>
  </si>
  <si>
    <r>
      <rPr>
        <sz val="12"/>
        <color theme="1"/>
        <rFont val="等线"/>
        <charset val="134"/>
        <scheme val="minor"/>
      </rPr>
      <t>N</t>
    </r>
    <r>
      <rPr>
        <vertAlign val="subscript"/>
        <sz val="12"/>
        <color theme="1"/>
        <rFont val="等线"/>
        <charset val="134"/>
        <scheme val="minor"/>
      </rPr>
      <t>2</t>
    </r>
  </si>
  <si>
    <r>
      <rPr>
        <sz val="12"/>
        <color theme="1"/>
        <rFont val="等线"/>
        <charset val="134"/>
        <scheme val="minor"/>
      </rPr>
      <t>H</t>
    </r>
    <r>
      <rPr>
        <vertAlign val="subscript"/>
        <sz val="12"/>
        <color theme="1"/>
        <rFont val="等线"/>
        <charset val="134"/>
        <scheme val="minor"/>
      </rPr>
      <t>2</t>
    </r>
    <r>
      <rPr>
        <sz val="12"/>
        <color theme="1"/>
        <rFont val="等线"/>
        <charset val="134"/>
        <scheme val="minor"/>
      </rPr>
      <t>SiO</t>
    </r>
    <r>
      <rPr>
        <vertAlign val="subscript"/>
        <sz val="12"/>
        <color theme="1"/>
        <rFont val="等线"/>
        <charset val="134"/>
        <scheme val="minor"/>
      </rPr>
      <t>3</t>
    </r>
  </si>
  <si>
    <r>
      <rPr>
        <sz val="12"/>
        <color theme="1"/>
        <rFont val="等线"/>
        <charset val="134"/>
        <scheme val="minor"/>
      </rPr>
      <t>H</t>
    </r>
    <r>
      <rPr>
        <vertAlign val="subscript"/>
        <sz val="12"/>
        <color theme="1"/>
        <rFont val="等线"/>
        <charset val="134"/>
        <scheme val="minor"/>
      </rPr>
      <t>2</t>
    </r>
    <r>
      <rPr>
        <sz val="12"/>
        <color theme="1"/>
        <rFont val="等线"/>
        <charset val="134"/>
        <scheme val="minor"/>
      </rPr>
      <t>S</t>
    </r>
  </si>
  <si>
    <t>微量元素</t>
  </si>
  <si>
    <t>Rn</t>
  </si>
  <si>
    <t>Sr</t>
  </si>
  <si>
    <t>库尔洛夫式-简单</t>
  </si>
  <si>
    <t>meq/L</t>
  </si>
  <si>
    <t>Na+K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</si>
  <si>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</t>
    </r>
  </si>
  <si>
    <t>Ca+Mg</t>
  </si>
  <si>
    <t>SO4+HCO3</t>
  </si>
  <si>
    <t>DRJ1</t>
  </si>
  <si>
    <t>DRJ2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</si>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</sst>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2"/>
      <color theme="1"/>
      <name val="宋体"/>
      <charset val="134"/>
    </font>
    <font>
      <vertAlign val="subscript"/>
      <sz val="12"/>
      <color theme="1"/>
      <name val="宋体"/>
      <charset val="134"/>
    </font>
    <font>
      <vertAlign val="superscript"/>
      <sz val="12"/>
      <color theme="1"/>
      <name val="等线"/>
      <charset val="134"/>
      <scheme val="minor"/>
    </font>
    <font>
      <vertAlign val="subscript"/>
      <sz val="12"/>
      <color theme="1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5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17" fillId="0" borderId="51" applyNumberFormat="0" applyFill="0" applyAlignment="0" applyProtection="0">
      <alignment vertical="center"/>
    </xf>
    <xf numFmtId="0" fontId="18" fillId="0" borderId="5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3" applyNumberFormat="0" applyAlignment="0" applyProtection="0">
      <alignment vertical="center"/>
    </xf>
    <xf numFmtId="0" fontId="20" fillId="8" borderId="54" applyNumberFormat="0" applyAlignment="0" applyProtection="0">
      <alignment vertical="center"/>
    </xf>
    <xf numFmtId="0" fontId="21" fillId="8" borderId="53" applyNumberFormat="0" applyAlignment="0" applyProtection="0">
      <alignment vertical="center"/>
    </xf>
    <xf numFmtId="0" fontId="22" fillId="9" borderId="55" applyNumberFormat="0" applyAlignment="0" applyProtection="0">
      <alignment vertical="center"/>
    </xf>
    <xf numFmtId="0" fontId="23" fillId="0" borderId="56" applyNumberFormat="0" applyFill="0" applyAlignment="0" applyProtection="0">
      <alignment vertical="center"/>
    </xf>
    <xf numFmtId="0" fontId="24" fillId="0" borderId="57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0" fontId="7" fillId="2" borderId="22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10" fontId="7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76" fontId="0" fillId="0" borderId="4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76" fontId="0" fillId="2" borderId="45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6" fontId="0" fillId="2" borderId="46" xfId="0" applyNumberForma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10" fillId="5" borderId="0" xfId="0" applyFont="1" applyFill="1"/>
    <xf numFmtId="0" fontId="4" fillId="0" borderId="7" xfId="0" applyFont="1" applyBorder="1" applyAlignment="1">
      <alignment horizontal="center" vertical="center"/>
    </xf>
    <xf numFmtId="10" fontId="0" fillId="5" borderId="0" xfId="0" applyNumberFormat="1" applyFill="1"/>
    <xf numFmtId="0" fontId="4" fillId="0" borderId="3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0" borderId="48" xfId="0" applyNumberFormat="1" applyBorder="1" applyAlignment="1">
      <alignment horizontal="center" vertical="center"/>
    </xf>
    <xf numFmtId="176" fontId="0" fillId="0" borderId="45" xfId="0" applyNumberForma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5</xdr:col>
      <xdr:colOff>514350</xdr:colOff>
      <xdr:row>2</xdr:row>
      <xdr:rowOff>76200</xdr:rowOff>
    </xdr:to>
    <xdr:pic>
      <xdr:nvPicPr>
        <xdr:cNvPr id="2" name="图片 1" descr="image00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00" y="381000"/>
          <a:ext cx="514350" cy="393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514350</xdr:colOff>
      <xdr:row>31</xdr:row>
      <xdr:rowOff>76200</xdr:rowOff>
    </xdr:to>
    <xdr:pic>
      <xdr:nvPicPr>
        <xdr:cNvPr id="3" name="图片 1" descr="image00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00" y="9570085"/>
          <a:ext cx="514350" cy="393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zoomScale="85" zoomScaleNormal="85" workbookViewId="0">
      <selection activeCell="J20" sqref="J20"/>
    </sheetView>
  </sheetViews>
  <sheetFormatPr defaultColWidth="9" defaultRowHeight="14.25"/>
  <cols>
    <col min="1" max="1" width="25" customWidth="1"/>
    <col min="2" max="8" width="15.625" customWidth="1"/>
    <col min="9" max="9" width="15.625" style="4" customWidth="1"/>
    <col min="10" max="10" width="29.75" customWidth="1"/>
    <col min="11" max="11" width="24.625" customWidth="1"/>
  </cols>
  <sheetData>
    <row r="1" ht="30" customHeight="1" spans="1:9">
      <c r="A1" s="5" t="s">
        <v>0</v>
      </c>
      <c r="B1" s="6"/>
      <c r="C1" s="6"/>
      <c r="D1" s="6"/>
      <c r="E1" s="6"/>
      <c r="F1" s="6"/>
      <c r="G1" s="6"/>
      <c r="H1" s="6"/>
      <c r="I1" s="91"/>
    </row>
    <row r="2" ht="24.95" customHeight="1" spans="1:9">
      <c r="A2" s="7"/>
      <c r="B2" s="8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11" t="s">
        <v>6</v>
      </c>
      <c r="H2" s="12" t="s">
        <v>7</v>
      </c>
      <c r="I2" s="92" t="s">
        <v>8</v>
      </c>
    </row>
    <row r="3" ht="24.95" customHeight="1" spans="1:11">
      <c r="A3" s="13"/>
      <c r="B3" s="14"/>
      <c r="C3" s="15"/>
      <c r="D3" s="15"/>
      <c r="E3" s="15"/>
      <c r="F3" s="16"/>
      <c r="G3" s="17"/>
      <c r="H3" s="18"/>
      <c r="I3" s="93"/>
      <c r="J3" s="94" t="s">
        <v>9</v>
      </c>
      <c r="K3" s="94" t="s">
        <v>10</v>
      </c>
    </row>
    <row r="4" ht="24.95" customHeight="1" spans="1:11">
      <c r="A4" s="19" t="s">
        <v>11</v>
      </c>
      <c r="B4" s="20" t="s">
        <v>12</v>
      </c>
      <c r="C4" s="21"/>
      <c r="D4" s="22">
        <v>23</v>
      </c>
      <c r="E4" s="22">
        <v>1</v>
      </c>
      <c r="F4" s="22">
        <f>C4/D4</f>
        <v>0</v>
      </c>
      <c r="G4" s="23">
        <f t="shared" ref="G4:G11" si="0">C4/D4*E4</f>
        <v>0</v>
      </c>
      <c r="H4" s="24" t="e">
        <f>G4/G12*100%</f>
        <v>#DIV/0!</v>
      </c>
      <c r="I4" s="95" t="e">
        <f t="shared" ref="I4:I11" si="1">H4*180</f>
        <v>#DIV/0!</v>
      </c>
      <c r="J4" s="96" t="e">
        <f>H4+H5</f>
        <v>#DIV/0!</v>
      </c>
      <c r="K4" s="59">
        <f>SUM(G4:G5)</f>
        <v>0</v>
      </c>
    </row>
    <row r="5" ht="24.95" customHeight="1" spans="1:11">
      <c r="A5" s="19"/>
      <c r="B5" s="25" t="s">
        <v>13</v>
      </c>
      <c r="C5" s="26"/>
      <c r="D5" s="27">
        <v>39</v>
      </c>
      <c r="E5" s="27">
        <v>1</v>
      </c>
      <c r="F5" s="27">
        <f t="shared" ref="F5:F18" si="2">C5/D5</f>
        <v>0</v>
      </c>
      <c r="G5" s="28">
        <f t="shared" si="0"/>
        <v>0</v>
      </c>
      <c r="H5" s="29" t="e">
        <f>G5/G12</f>
        <v>#DIV/0!</v>
      </c>
      <c r="I5" s="97" t="e">
        <f t="shared" si="1"/>
        <v>#DIV/0!</v>
      </c>
      <c r="J5" s="98" t="s">
        <v>14</v>
      </c>
      <c r="K5" s="94" t="s">
        <v>15</v>
      </c>
    </row>
    <row r="6" ht="24.95" customHeight="1" spans="1:11">
      <c r="A6" s="19"/>
      <c r="B6" s="25" t="s">
        <v>16</v>
      </c>
      <c r="C6" s="26"/>
      <c r="D6" s="27">
        <v>40</v>
      </c>
      <c r="E6" s="27">
        <v>2</v>
      </c>
      <c r="F6" s="27">
        <f t="shared" si="2"/>
        <v>0</v>
      </c>
      <c r="G6" s="28">
        <f t="shared" si="0"/>
        <v>0</v>
      </c>
      <c r="H6" s="29" t="e">
        <f>G6/G12</f>
        <v>#DIV/0!</v>
      </c>
      <c r="I6" s="97" t="e">
        <f t="shared" si="1"/>
        <v>#DIV/0!</v>
      </c>
      <c r="J6" s="96" t="e">
        <f>SUM(H6:H7)</f>
        <v>#DIV/0!</v>
      </c>
      <c r="K6" s="59">
        <f>SUM(G6:G7)</f>
        <v>0</v>
      </c>
    </row>
    <row r="7" ht="24.95" customHeight="1" spans="1:11">
      <c r="A7" s="19"/>
      <c r="B7" s="25" t="s">
        <v>17</v>
      </c>
      <c r="C7" s="26"/>
      <c r="D7" s="27">
        <v>24</v>
      </c>
      <c r="E7" s="27">
        <v>2</v>
      </c>
      <c r="F7" s="27">
        <f t="shared" si="2"/>
        <v>0</v>
      </c>
      <c r="G7" s="28">
        <f t="shared" si="0"/>
        <v>0</v>
      </c>
      <c r="H7" s="29" t="e">
        <f>G7/G12</f>
        <v>#DIV/0!</v>
      </c>
      <c r="I7" s="97" t="e">
        <f t="shared" si="1"/>
        <v>#DIV/0!</v>
      </c>
      <c r="J7" s="2"/>
      <c r="K7" s="2"/>
    </row>
    <row r="8" ht="24.95" customHeight="1" spans="1:11">
      <c r="A8" s="19"/>
      <c r="B8" s="25" t="s">
        <v>18</v>
      </c>
      <c r="C8" s="26"/>
      <c r="D8" s="27">
        <v>56</v>
      </c>
      <c r="E8" s="27">
        <v>2</v>
      </c>
      <c r="F8" s="27">
        <f t="shared" si="2"/>
        <v>0</v>
      </c>
      <c r="G8" s="28">
        <f t="shared" si="0"/>
        <v>0</v>
      </c>
      <c r="H8" s="29" t="e">
        <f>G8/G12</f>
        <v>#DIV/0!</v>
      </c>
      <c r="I8" s="97" t="e">
        <f t="shared" si="1"/>
        <v>#DIV/0!</v>
      </c>
      <c r="J8" s="2"/>
      <c r="K8" s="2"/>
    </row>
    <row r="9" ht="24.95" customHeight="1" spans="1:11">
      <c r="A9" s="19"/>
      <c r="B9" s="25" t="s">
        <v>19</v>
      </c>
      <c r="C9" s="26"/>
      <c r="D9" s="27">
        <v>56</v>
      </c>
      <c r="E9" s="27">
        <v>3</v>
      </c>
      <c r="F9" s="27">
        <f t="shared" si="2"/>
        <v>0</v>
      </c>
      <c r="G9" s="28">
        <f t="shared" si="0"/>
        <v>0</v>
      </c>
      <c r="H9" s="29" t="e">
        <f>G9/G12</f>
        <v>#DIV/0!</v>
      </c>
      <c r="I9" s="97" t="e">
        <f t="shared" si="1"/>
        <v>#DIV/0!</v>
      </c>
      <c r="J9" s="2"/>
      <c r="K9" s="2"/>
    </row>
    <row r="10" ht="24.95" customHeight="1" spans="1:11">
      <c r="A10" s="19"/>
      <c r="B10" s="25" t="s">
        <v>20</v>
      </c>
      <c r="C10" s="26"/>
      <c r="D10" s="27">
        <v>27</v>
      </c>
      <c r="E10" s="27">
        <v>3</v>
      </c>
      <c r="F10" s="27">
        <f t="shared" si="2"/>
        <v>0</v>
      </c>
      <c r="G10" s="28">
        <f t="shared" si="0"/>
        <v>0</v>
      </c>
      <c r="H10" s="29" t="e">
        <f>G10/G12</f>
        <v>#DIV/0!</v>
      </c>
      <c r="I10" s="97" t="e">
        <f t="shared" si="1"/>
        <v>#DIV/0!</v>
      </c>
      <c r="J10" s="2"/>
      <c r="K10" s="2"/>
    </row>
    <row r="11" ht="24.95" customHeight="1" spans="1:11">
      <c r="A11" s="19"/>
      <c r="B11" s="25" t="s">
        <v>21</v>
      </c>
      <c r="C11" s="26">
        <v>0</v>
      </c>
      <c r="D11" s="27">
        <v>20</v>
      </c>
      <c r="E11" s="27">
        <v>1</v>
      </c>
      <c r="F11" s="27">
        <f t="shared" si="2"/>
        <v>0</v>
      </c>
      <c r="G11" s="28">
        <f t="shared" si="0"/>
        <v>0</v>
      </c>
      <c r="H11" s="29" t="e">
        <f>G11/G12</f>
        <v>#DIV/0!</v>
      </c>
      <c r="I11" s="97" t="e">
        <f t="shared" si="1"/>
        <v>#DIV/0!</v>
      </c>
      <c r="J11" s="2"/>
      <c r="K11" s="2"/>
    </row>
    <row r="12" ht="24.95" customHeight="1" spans="1:11">
      <c r="A12" s="30"/>
      <c r="B12" s="31" t="s">
        <v>22</v>
      </c>
      <c r="C12" s="32">
        <f>SUM(C4:C11)</f>
        <v>0</v>
      </c>
      <c r="D12" s="32" t="s">
        <v>23</v>
      </c>
      <c r="E12" s="32" t="s">
        <v>23</v>
      </c>
      <c r="F12" s="33"/>
      <c r="G12" s="34">
        <f>SUM(G4:G11)</f>
        <v>0</v>
      </c>
      <c r="H12" s="35" t="e">
        <f>SUM(H4:H11)</f>
        <v>#DIV/0!</v>
      </c>
      <c r="I12" s="99" t="s">
        <v>23</v>
      </c>
      <c r="J12" s="100" t="s">
        <v>24</v>
      </c>
      <c r="K12" s="94" t="s">
        <v>25</v>
      </c>
    </row>
    <row r="13" ht="24.95" customHeight="1" spans="1:11">
      <c r="A13" s="36" t="s">
        <v>26</v>
      </c>
      <c r="B13" s="20" t="s">
        <v>27</v>
      </c>
      <c r="C13" s="21"/>
      <c r="D13" s="22">
        <v>61</v>
      </c>
      <c r="E13" s="22">
        <v>1</v>
      </c>
      <c r="F13" s="22">
        <f t="shared" si="2"/>
        <v>0</v>
      </c>
      <c r="G13" s="23">
        <f t="shared" ref="G13:G18" si="3">C13/D13*E13</f>
        <v>0</v>
      </c>
      <c r="H13" s="24" t="e">
        <f>G13/G19</f>
        <v>#DIV/0!</v>
      </c>
      <c r="I13" s="95" t="e">
        <f t="shared" ref="I13:I18" si="4">H13*180</f>
        <v>#DIV/0!</v>
      </c>
      <c r="J13" s="96" t="e">
        <f>H13+H14</f>
        <v>#DIV/0!</v>
      </c>
      <c r="K13" s="59">
        <f>SUM(G13:G14)</f>
        <v>0</v>
      </c>
    </row>
    <row r="14" ht="24.95" customHeight="1" spans="1:10">
      <c r="A14" s="19"/>
      <c r="B14" s="25" t="s">
        <v>28</v>
      </c>
      <c r="C14" s="26"/>
      <c r="D14" s="27">
        <v>60</v>
      </c>
      <c r="E14" s="27">
        <v>2</v>
      </c>
      <c r="F14" s="27">
        <f t="shared" si="2"/>
        <v>0</v>
      </c>
      <c r="G14" s="28">
        <f t="shared" si="3"/>
        <v>0</v>
      </c>
      <c r="H14" s="29" t="e">
        <f>G14/G19</f>
        <v>#DIV/0!</v>
      </c>
      <c r="I14" s="97" t="e">
        <f t="shared" si="4"/>
        <v>#DIV/0!</v>
      </c>
      <c r="J14" s="68"/>
    </row>
    <row r="15" ht="24.95" customHeight="1" spans="1:10">
      <c r="A15" s="19"/>
      <c r="B15" s="25" t="s">
        <v>29</v>
      </c>
      <c r="C15" s="26"/>
      <c r="D15" s="27">
        <v>35.5</v>
      </c>
      <c r="E15" s="27">
        <v>1</v>
      </c>
      <c r="F15" s="27">
        <f t="shared" si="2"/>
        <v>0</v>
      </c>
      <c r="G15" s="28">
        <f t="shared" si="3"/>
        <v>0</v>
      </c>
      <c r="H15" s="29" t="e">
        <f>G15/G19</f>
        <v>#DIV/0!</v>
      </c>
      <c r="I15" s="97" t="e">
        <f t="shared" si="4"/>
        <v>#DIV/0!</v>
      </c>
      <c r="J15" s="68"/>
    </row>
    <row r="16" ht="24.95" customHeight="1" spans="1:10">
      <c r="A16" s="19"/>
      <c r="B16" s="25" t="s">
        <v>30</v>
      </c>
      <c r="C16" s="26"/>
      <c r="D16" s="27">
        <v>96</v>
      </c>
      <c r="E16" s="27">
        <v>2</v>
      </c>
      <c r="F16" s="27">
        <f t="shared" si="2"/>
        <v>0</v>
      </c>
      <c r="G16" s="28">
        <f t="shared" si="3"/>
        <v>0</v>
      </c>
      <c r="H16" s="29" t="e">
        <f>G16/G19</f>
        <v>#DIV/0!</v>
      </c>
      <c r="I16" s="97" t="e">
        <f t="shared" si="4"/>
        <v>#DIV/0!</v>
      </c>
      <c r="J16" s="68"/>
    </row>
    <row r="17" ht="24.95" customHeight="1" spans="1:10">
      <c r="A17" s="19"/>
      <c r="B17" s="25" t="s">
        <v>31</v>
      </c>
      <c r="C17" s="26"/>
      <c r="D17" s="27">
        <v>19</v>
      </c>
      <c r="E17" s="27">
        <v>1</v>
      </c>
      <c r="F17" s="27">
        <f t="shared" si="2"/>
        <v>0</v>
      </c>
      <c r="G17" s="28">
        <f t="shared" si="3"/>
        <v>0</v>
      </c>
      <c r="H17" s="29" t="e">
        <f>G17/G19</f>
        <v>#DIV/0!</v>
      </c>
      <c r="I17" s="97" t="e">
        <f t="shared" si="4"/>
        <v>#DIV/0!</v>
      </c>
      <c r="J17" s="68"/>
    </row>
    <row r="18" ht="24.95" customHeight="1" spans="1:10">
      <c r="A18" s="19"/>
      <c r="B18" s="25" t="s">
        <v>32</v>
      </c>
      <c r="C18" s="26"/>
      <c r="D18" s="27">
        <v>62</v>
      </c>
      <c r="E18" s="27">
        <v>1</v>
      </c>
      <c r="F18" s="27">
        <f t="shared" si="2"/>
        <v>0</v>
      </c>
      <c r="G18" s="28">
        <f t="shared" si="3"/>
        <v>0</v>
      </c>
      <c r="H18" s="29" t="e">
        <f>G18/G19</f>
        <v>#DIV/0!</v>
      </c>
      <c r="I18" s="97" t="e">
        <f t="shared" si="4"/>
        <v>#DIV/0!</v>
      </c>
      <c r="J18" s="68"/>
    </row>
    <row r="19" ht="24.95" customHeight="1" spans="1:10">
      <c r="A19" s="30"/>
      <c r="B19" s="37" t="s">
        <v>22</v>
      </c>
      <c r="C19" s="38">
        <f>SUM(C13:C18)</f>
        <v>0</v>
      </c>
      <c r="D19" s="38" t="s">
        <v>23</v>
      </c>
      <c r="E19" s="38" t="s">
        <v>23</v>
      </c>
      <c r="F19" s="38"/>
      <c r="G19" s="39">
        <f>SUM(G13:G18)</f>
        <v>0</v>
      </c>
      <c r="H19" s="40" t="e">
        <f>SUM(H13:H18)</f>
        <v>#DIV/0!</v>
      </c>
      <c r="I19" s="101" t="s">
        <v>23</v>
      </c>
      <c r="J19" s="68"/>
    </row>
    <row r="20" ht="24.95" customHeight="1" spans="1:10">
      <c r="A20" s="41" t="s">
        <v>33</v>
      </c>
      <c r="B20" s="42">
        <f>(C12+C19)/1000</f>
        <v>0</v>
      </c>
      <c r="C20" s="42"/>
      <c r="D20" s="42"/>
      <c r="E20" s="42"/>
      <c r="F20" s="42"/>
      <c r="G20" s="42"/>
      <c r="H20" s="42"/>
      <c r="I20" s="102"/>
      <c r="J20" s="103" t="s">
        <v>34</v>
      </c>
    </row>
    <row r="21" ht="24.95" customHeight="1" spans="1:10">
      <c r="A21" s="43" t="s">
        <v>35</v>
      </c>
      <c r="B21" s="12" t="s">
        <v>35</v>
      </c>
      <c r="C21" s="44" t="s">
        <v>36</v>
      </c>
      <c r="D21" s="44" t="s">
        <v>37</v>
      </c>
      <c r="E21" s="23" t="s">
        <v>3</v>
      </c>
      <c r="F21" s="45"/>
      <c r="G21" s="46" t="s">
        <v>23</v>
      </c>
      <c r="H21" s="47"/>
      <c r="I21" s="104"/>
      <c r="J21" s="105" t="e">
        <f>(G12-G19)/(G12+G19)</f>
        <v>#DIV/0!</v>
      </c>
    </row>
    <row r="22" ht="24.95" customHeight="1" spans="1:9">
      <c r="A22" s="48"/>
      <c r="B22" s="49" t="s">
        <v>38</v>
      </c>
      <c r="C22" s="50"/>
      <c r="D22" s="51">
        <f>C22/1000</f>
        <v>0</v>
      </c>
      <c r="E22" s="28">
        <v>44</v>
      </c>
      <c r="F22" s="52"/>
      <c r="G22" s="53"/>
      <c r="H22" s="54"/>
      <c r="I22" s="88"/>
    </row>
    <row r="23" ht="24.95" customHeight="1" spans="1:9">
      <c r="A23" s="48"/>
      <c r="B23" s="49" t="s">
        <v>39</v>
      </c>
      <c r="C23" s="50" t="s">
        <v>23</v>
      </c>
      <c r="D23" s="51" t="s">
        <v>23</v>
      </c>
      <c r="E23" s="55">
        <v>28</v>
      </c>
      <c r="F23" s="54"/>
      <c r="G23" s="53"/>
      <c r="H23" s="54"/>
      <c r="I23" s="88"/>
    </row>
    <row r="24" ht="24.95" customHeight="1" spans="1:9">
      <c r="A24" s="48"/>
      <c r="B24" s="49" t="s">
        <v>40</v>
      </c>
      <c r="C24" s="50"/>
      <c r="D24" s="51">
        <f>C24/1000</f>
        <v>0</v>
      </c>
      <c r="E24" s="55">
        <v>78</v>
      </c>
      <c r="F24" s="54"/>
      <c r="G24" s="53"/>
      <c r="H24" s="54"/>
      <c r="I24" s="88"/>
    </row>
    <row r="25" ht="24.95" customHeight="1" spans="1:9">
      <c r="A25" s="56"/>
      <c r="B25" s="49" t="s">
        <v>41</v>
      </c>
      <c r="C25" s="50" t="s">
        <v>23</v>
      </c>
      <c r="D25" s="51" t="s">
        <v>23</v>
      </c>
      <c r="E25" s="55">
        <v>34</v>
      </c>
      <c r="F25" s="54"/>
      <c r="G25" s="53"/>
      <c r="H25" s="54"/>
      <c r="I25" s="88"/>
    </row>
    <row r="26" ht="24.95" customHeight="1" spans="1:9">
      <c r="A26" s="43" t="s">
        <v>42</v>
      </c>
      <c r="B26" s="49" t="s">
        <v>42</v>
      </c>
      <c r="C26" s="51" t="s">
        <v>37</v>
      </c>
      <c r="D26" s="51" t="s">
        <v>37</v>
      </c>
      <c r="E26" s="28" t="s">
        <v>3</v>
      </c>
      <c r="F26" s="52"/>
      <c r="G26" s="53"/>
      <c r="H26" s="54"/>
      <c r="I26" s="88"/>
    </row>
    <row r="27" ht="24.95" customHeight="1" spans="1:9">
      <c r="A27" s="48"/>
      <c r="B27" s="57" t="s">
        <v>43</v>
      </c>
      <c r="C27" s="58" t="s">
        <v>23</v>
      </c>
      <c r="D27" s="59" t="s">
        <v>23</v>
      </c>
      <c r="E27" s="60">
        <v>222</v>
      </c>
      <c r="F27" s="2"/>
      <c r="G27" s="53"/>
      <c r="H27" s="54"/>
      <c r="I27" s="88"/>
    </row>
    <row r="28" ht="24.95" customHeight="1" spans="1:9">
      <c r="A28" s="56"/>
      <c r="B28" s="61" t="s">
        <v>44</v>
      </c>
      <c r="C28" s="62"/>
      <c r="D28" s="63">
        <f>C28/1000</f>
        <v>0</v>
      </c>
      <c r="E28" s="64">
        <v>88</v>
      </c>
      <c r="F28" s="65"/>
      <c r="G28" s="66"/>
      <c r="H28" s="67"/>
      <c r="I28" s="106"/>
    </row>
    <row r="29" ht="24.95" customHeight="1" spans="1:8">
      <c r="A29" s="68"/>
      <c r="B29" s="68"/>
      <c r="C29" s="68"/>
      <c r="D29" s="68"/>
      <c r="E29" s="68"/>
      <c r="F29" s="68"/>
      <c r="G29" s="68"/>
      <c r="H29" s="68"/>
    </row>
    <row r="30" ht="24.95" customHeight="1" spans="1:9">
      <c r="A30" s="69" t="s">
        <v>45</v>
      </c>
      <c r="B30" s="70"/>
      <c r="C30" s="70"/>
      <c r="D30" s="70"/>
      <c r="E30" s="70"/>
      <c r="F30" s="70"/>
      <c r="G30" s="70"/>
      <c r="H30" s="70"/>
      <c r="I30" s="107"/>
    </row>
    <row r="31" ht="24.95" customHeight="1" spans="1:9">
      <c r="A31" s="71"/>
      <c r="B31" s="20" t="s">
        <v>1</v>
      </c>
      <c r="C31" s="22" t="s">
        <v>2</v>
      </c>
      <c r="D31" s="22" t="s">
        <v>3</v>
      </c>
      <c r="E31" s="22" t="s">
        <v>4</v>
      </c>
      <c r="F31" s="23" t="s">
        <v>5</v>
      </c>
      <c r="G31" s="72" t="s">
        <v>46</v>
      </c>
      <c r="H31" s="73" t="s">
        <v>7</v>
      </c>
      <c r="I31" s="108" t="s">
        <v>8</v>
      </c>
    </row>
    <row r="32" ht="24.95" customHeight="1" spans="1:9">
      <c r="A32" s="74"/>
      <c r="B32" s="75"/>
      <c r="C32" s="76"/>
      <c r="D32" s="76"/>
      <c r="E32" s="76"/>
      <c r="F32" s="77"/>
      <c r="G32" s="78"/>
      <c r="H32" s="79"/>
      <c r="I32" s="109"/>
    </row>
    <row r="33" ht="24.95" customHeight="1" spans="1:9">
      <c r="A33" s="80" t="s">
        <v>11</v>
      </c>
      <c r="B33" s="20" t="s">
        <v>12</v>
      </c>
      <c r="C33" s="22">
        <f>C4</f>
        <v>0</v>
      </c>
      <c r="D33" s="22">
        <v>23</v>
      </c>
      <c r="E33" s="22">
        <v>1</v>
      </c>
      <c r="F33" s="22">
        <f>C33/D33</f>
        <v>0</v>
      </c>
      <c r="G33" s="23">
        <f>C33/D33*E33</f>
        <v>0</v>
      </c>
      <c r="H33" s="24" t="e">
        <f>G33/G37*100%</f>
        <v>#DIV/0!</v>
      </c>
      <c r="I33" s="108" t="e">
        <f>(H33+H34)*180</f>
        <v>#DIV/0!</v>
      </c>
    </row>
    <row r="34" ht="24.95" customHeight="1" spans="1:9">
      <c r="A34" s="81"/>
      <c r="B34" s="25" t="s">
        <v>13</v>
      </c>
      <c r="C34" s="27">
        <f>C5</f>
        <v>0</v>
      </c>
      <c r="D34" s="27">
        <v>39</v>
      </c>
      <c r="E34" s="27">
        <v>1</v>
      </c>
      <c r="F34" s="27">
        <f t="shared" ref="F34:F40" si="5">C34/D34</f>
        <v>0</v>
      </c>
      <c r="G34" s="28">
        <f t="shared" ref="G34:G36" si="6">C34/D34*E34</f>
        <v>0</v>
      </c>
      <c r="H34" s="29" t="e">
        <f>G34/G37</f>
        <v>#DIV/0!</v>
      </c>
      <c r="I34" s="110"/>
    </row>
    <row r="35" ht="24.95" customHeight="1" spans="1:9">
      <c r="A35" s="81"/>
      <c r="B35" s="25" t="s">
        <v>16</v>
      </c>
      <c r="C35" s="27">
        <f>C6</f>
        <v>0</v>
      </c>
      <c r="D35" s="27">
        <v>40</v>
      </c>
      <c r="E35" s="27">
        <v>2</v>
      </c>
      <c r="F35" s="27">
        <f t="shared" si="5"/>
        <v>0</v>
      </c>
      <c r="G35" s="28">
        <f t="shared" si="6"/>
        <v>0</v>
      </c>
      <c r="H35" s="29" t="e">
        <f>G35/G37</f>
        <v>#DIV/0!</v>
      </c>
      <c r="I35" s="110" t="e">
        <f>H35*180</f>
        <v>#DIV/0!</v>
      </c>
    </row>
    <row r="36" ht="24.95" customHeight="1" spans="1:9">
      <c r="A36" s="81"/>
      <c r="B36" s="25" t="s">
        <v>17</v>
      </c>
      <c r="C36" s="27">
        <f>C7</f>
        <v>0</v>
      </c>
      <c r="D36" s="27">
        <v>24</v>
      </c>
      <c r="E36" s="27">
        <v>2</v>
      </c>
      <c r="F36" s="27">
        <f t="shared" si="5"/>
        <v>0</v>
      </c>
      <c r="G36" s="28">
        <f t="shared" si="6"/>
        <v>0</v>
      </c>
      <c r="H36" s="29" t="e">
        <f>G36/G37</f>
        <v>#DIV/0!</v>
      </c>
      <c r="I36" s="110" t="e">
        <f>H36*180</f>
        <v>#DIV/0!</v>
      </c>
    </row>
    <row r="37" ht="24.95" customHeight="1" spans="1:9">
      <c r="A37" s="82"/>
      <c r="B37" s="37" t="s">
        <v>22</v>
      </c>
      <c r="C37" s="38">
        <f>SUM(C33:C36)</f>
        <v>0</v>
      </c>
      <c r="D37" s="38" t="s">
        <v>23</v>
      </c>
      <c r="E37" s="38" t="s">
        <v>23</v>
      </c>
      <c r="F37" s="38" t="s">
        <v>23</v>
      </c>
      <c r="G37" s="39">
        <f>SUM(G33:G36)</f>
        <v>0</v>
      </c>
      <c r="H37" s="40" t="e">
        <f>SUM(H33:H36)</f>
        <v>#DIV/0!</v>
      </c>
      <c r="I37" s="111" t="s">
        <v>23</v>
      </c>
    </row>
    <row r="38" ht="24.95" customHeight="1" spans="1:9">
      <c r="A38" s="80" t="s">
        <v>26</v>
      </c>
      <c r="B38" s="20" t="s">
        <v>27</v>
      </c>
      <c r="C38" s="22">
        <f>C13</f>
        <v>0</v>
      </c>
      <c r="D38" s="22">
        <v>61</v>
      </c>
      <c r="E38" s="22">
        <v>1</v>
      </c>
      <c r="F38" s="22">
        <f t="shared" si="5"/>
        <v>0</v>
      </c>
      <c r="G38" s="23">
        <f>C38/D38*E38</f>
        <v>0</v>
      </c>
      <c r="H38" s="24" t="e">
        <f>G38/G41</f>
        <v>#DIV/0!</v>
      </c>
      <c r="I38" s="112" t="e">
        <f>H38*180</f>
        <v>#DIV/0!</v>
      </c>
    </row>
    <row r="39" ht="24.95" customHeight="1" spans="1:9">
      <c r="A39" s="81"/>
      <c r="B39" s="25" t="s">
        <v>29</v>
      </c>
      <c r="C39" s="27">
        <f>C15</f>
        <v>0</v>
      </c>
      <c r="D39" s="27">
        <v>35.5</v>
      </c>
      <c r="E39" s="27">
        <v>1</v>
      </c>
      <c r="F39" s="27">
        <f t="shared" si="5"/>
        <v>0</v>
      </c>
      <c r="G39" s="28">
        <f t="shared" ref="G39:G40" si="7">C39/D39*E39</f>
        <v>0</v>
      </c>
      <c r="H39" s="29" t="e">
        <f>G39/G41</f>
        <v>#DIV/0!</v>
      </c>
      <c r="I39" s="97" t="e">
        <f t="shared" ref="I39:I40" si="8">H39*180</f>
        <v>#DIV/0!</v>
      </c>
    </row>
    <row r="40" ht="24.95" customHeight="1" spans="1:9">
      <c r="A40" s="81"/>
      <c r="B40" s="25" t="s">
        <v>30</v>
      </c>
      <c r="C40" s="27">
        <f>C16</f>
        <v>0</v>
      </c>
      <c r="D40" s="27">
        <v>96</v>
      </c>
      <c r="E40" s="27">
        <v>2</v>
      </c>
      <c r="F40" s="27">
        <f t="shared" si="5"/>
        <v>0</v>
      </c>
      <c r="G40" s="28">
        <f t="shared" si="7"/>
        <v>0</v>
      </c>
      <c r="H40" s="29" t="e">
        <f>G40/G41</f>
        <v>#DIV/0!</v>
      </c>
      <c r="I40" s="97" t="e">
        <f t="shared" si="8"/>
        <v>#DIV/0!</v>
      </c>
    </row>
    <row r="41" ht="24.95" customHeight="1" spans="1:9">
      <c r="A41" s="82"/>
      <c r="B41" s="37" t="s">
        <v>22</v>
      </c>
      <c r="C41" s="38">
        <f>SUM(C38:C40)</f>
        <v>0</v>
      </c>
      <c r="D41" s="38" t="s">
        <v>23</v>
      </c>
      <c r="E41" s="38" t="s">
        <v>23</v>
      </c>
      <c r="F41" s="38" t="s">
        <v>23</v>
      </c>
      <c r="G41" s="39">
        <f>SUM(G38:G40)</f>
        <v>0</v>
      </c>
      <c r="H41" s="40" t="e">
        <f>SUM(H38:H40)</f>
        <v>#DIV/0!</v>
      </c>
      <c r="I41" s="113" t="s">
        <v>23</v>
      </c>
    </row>
    <row r="42" ht="24.95" customHeight="1" spans="1:9">
      <c r="A42" s="81" t="s">
        <v>33</v>
      </c>
      <c r="B42" s="83"/>
      <c r="C42" s="84"/>
      <c r="D42" s="84"/>
      <c r="E42" s="84"/>
      <c r="F42" s="84"/>
      <c r="G42" s="84"/>
      <c r="H42" s="84"/>
      <c r="I42" s="114"/>
    </row>
    <row r="43" ht="24.95" customHeight="1" spans="1:9">
      <c r="A43" s="85" t="s">
        <v>35</v>
      </c>
      <c r="B43" s="53" t="s">
        <v>35</v>
      </c>
      <c r="C43" s="54" t="s">
        <v>37</v>
      </c>
      <c r="D43" s="86" t="s">
        <v>3</v>
      </c>
      <c r="E43" s="46" t="s">
        <v>23</v>
      </c>
      <c r="F43" s="47"/>
      <c r="G43" s="47"/>
      <c r="H43" s="47"/>
      <c r="I43" s="104"/>
    </row>
    <row r="44" ht="24.95" customHeight="1" spans="1:9">
      <c r="A44" s="87"/>
      <c r="B44" s="53" t="s">
        <v>38</v>
      </c>
      <c r="C44" s="54">
        <f>C22</f>
        <v>0</v>
      </c>
      <c r="D44" s="86">
        <v>44</v>
      </c>
      <c r="E44" s="53"/>
      <c r="F44" s="54"/>
      <c r="G44" s="54"/>
      <c r="H44" s="54"/>
      <c r="I44" s="88"/>
    </row>
    <row r="45" ht="24.95" customHeight="1" spans="1:9">
      <c r="A45" s="87"/>
      <c r="B45" s="53" t="s">
        <v>39</v>
      </c>
      <c r="C45" s="54" t="str">
        <f>C23</f>
        <v>/</v>
      </c>
      <c r="D45" s="88">
        <v>28</v>
      </c>
      <c r="E45" s="53"/>
      <c r="F45" s="54"/>
      <c r="G45" s="54"/>
      <c r="H45" s="54"/>
      <c r="I45" s="88"/>
    </row>
    <row r="46" ht="24.95" customHeight="1" spans="1:9">
      <c r="A46" s="87"/>
      <c r="B46" s="53" t="s">
        <v>40</v>
      </c>
      <c r="C46" s="54">
        <f>C24</f>
        <v>0</v>
      </c>
      <c r="D46" s="88">
        <v>78</v>
      </c>
      <c r="E46" s="53"/>
      <c r="F46" s="54"/>
      <c r="G46" s="54"/>
      <c r="H46" s="54"/>
      <c r="I46" s="88"/>
    </row>
    <row r="47" ht="24.95" customHeight="1" spans="1:9">
      <c r="A47" s="87"/>
      <c r="B47" s="53" t="s">
        <v>41</v>
      </c>
      <c r="C47" s="54" t="str">
        <f>C25</f>
        <v>/</v>
      </c>
      <c r="D47" s="88">
        <v>34</v>
      </c>
      <c r="E47" s="53"/>
      <c r="F47" s="54"/>
      <c r="G47" s="54"/>
      <c r="H47" s="54"/>
      <c r="I47" s="88"/>
    </row>
    <row r="48" ht="24.95" customHeight="1" spans="1:9">
      <c r="A48" s="85" t="s">
        <v>42</v>
      </c>
      <c r="B48" s="53" t="s">
        <v>42</v>
      </c>
      <c r="C48" s="54" t="s">
        <v>37</v>
      </c>
      <c r="D48" s="86" t="s">
        <v>3</v>
      </c>
      <c r="E48" s="53"/>
      <c r="F48" s="54"/>
      <c r="G48" s="54"/>
      <c r="H48" s="54"/>
      <c r="I48" s="88"/>
    </row>
    <row r="49" ht="24.95" customHeight="1" spans="1:9">
      <c r="A49" s="87"/>
      <c r="B49" s="89" t="s">
        <v>43</v>
      </c>
      <c r="C49" s="2" t="str">
        <f>C27</f>
        <v>/</v>
      </c>
      <c r="D49" s="17">
        <v>222</v>
      </c>
      <c r="E49" s="53"/>
      <c r="F49" s="54"/>
      <c r="G49" s="54"/>
      <c r="H49" s="54"/>
      <c r="I49" s="88"/>
    </row>
    <row r="50" ht="24.95" customHeight="1" spans="1:9">
      <c r="A50" s="90"/>
      <c r="B50" s="74" t="s">
        <v>44</v>
      </c>
      <c r="C50" s="65">
        <f>C28</f>
        <v>0</v>
      </c>
      <c r="D50" s="78">
        <v>88</v>
      </c>
      <c r="E50" s="66"/>
      <c r="F50" s="67"/>
      <c r="G50" s="67"/>
      <c r="H50" s="67"/>
      <c r="I50" s="106"/>
    </row>
  </sheetData>
  <mergeCells count="33">
    <mergeCell ref="A1:I1"/>
    <mergeCell ref="B20:I20"/>
    <mergeCell ref="A30:I30"/>
    <mergeCell ref="B42:I42"/>
    <mergeCell ref="A2:A3"/>
    <mergeCell ref="A4:A12"/>
    <mergeCell ref="A13:A19"/>
    <mergeCell ref="A21:A25"/>
    <mergeCell ref="A26:A28"/>
    <mergeCell ref="A31:A32"/>
    <mergeCell ref="A33:A37"/>
    <mergeCell ref="A38:A41"/>
    <mergeCell ref="A43:A47"/>
    <mergeCell ref="A48:A50"/>
    <mergeCell ref="B2:B3"/>
    <mergeCell ref="B31:B32"/>
    <mergeCell ref="C2:C3"/>
    <mergeCell ref="C31:C32"/>
    <mergeCell ref="D2:D3"/>
    <mergeCell ref="D31:D32"/>
    <mergeCell ref="E2:E3"/>
    <mergeCell ref="E31:E32"/>
    <mergeCell ref="F2:F3"/>
    <mergeCell ref="F31:F32"/>
    <mergeCell ref="G2:G3"/>
    <mergeCell ref="G31:G32"/>
    <mergeCell ref="H2:H3"/>
    <mergeCell ref="H31:H32"/>
    <mergeCell ref="I2:I3"/>
    <mergeCell ref="I31:I32"/>
    <mergeCell ref="I33:I34"/>
    <mergeCell ref="G21:I28"/>
    <mergeCell ref="E43:I5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F11" sqref="F11"/>
    </sheetView>
  </sheetViews>
  <sheetFormatPr defaultColWidth="9" defaultRowHeight="14.25" outlineLevelRow="4" outlineLevelCol="4"/>
  <cols>
    <col min="2" max="4" width="9" style="1"/>
    <col min="5" max="5" width="10.75" style="1" customWidth="1"/>
  </cols>
  <sheetData>
    <row r="1" spans="1:5">
      <c r="A1" s="2"/>
      <c r="B1" s="2" t="s">
        <v>47</v>
      </c>
      <c r="C1" s="3" t="s">
        <v>48</v>
      </c>
      <c r="D1" s="3" t="s">
        <v>49</v>
      </c>
      <c r="E1" s="3" t="s">
        <v>50</v>
      </c>
    </row>
    <row r="2" spans="1:5">
      <c r="A2" s="2" t="s">
        <v>51</v>
      </c>
      <c r="B2" s="2">
        <v>21.3581939799331</v>
      </c>
      <c r="C2" s="2">
        <v>14.9802816901408</v>
      </c>
      <c r="D2" s="2"/>
      <c r="E2" s="2"/>
    </row>
    <row r="3" spans="1:5">
      <c r="A3" s="2" t="s">
        <v>52</v>
      </c>
      <c r="B3" s="2">
        <v>22.1665551839465</v>
      </c>
      <c r="C3" s="2">
        <v>14.9802816901408</v>
      </c>
      <c r="D3" s="2"/>
      <c r="E3" s="2"/>
    </row>
    <row r="4" spans="1:5">
      <c r="A4" s="2" t="s">
        <v>53</v>
      </c>
      <c r="B4" s="2">
        <v>1.01752508361204</v>
      </c>
      <c r="C4" s="2">
        <v>0.259154929577465</v>
      </c>
      <c r="D4" s="2"/>
      <c r="E4" s="2"/>
    </row>
    <row r="5" spans="1:5">
      <c r="A5" s="2" t="s">
        <v>54</v>
      </c>
      <c r="B5" s="2">
        <v>5.42115942028985</v>
      </c>
      <c r="C5" s="2">
        <v>1.65633802816901</v>
      </c>
      <c r="D5" s="2"/>
      <c r="E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DRJ1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马鹏程</dc:creator>
  <cp:lastModifiedBy>wyl</cp:lastModifiedBy>
  <dcterms:created xsi:type="dcterms:W3CDTF">2015-06-05T18:19:00Z</dcterms:created>
  <dcterms:modified xsi:type="dcterms:W3CDTF">2026-09-10T11:59:16Z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3BDEE74F9F314972BF7C0F1F07AE56A2_12</vt:lpwstr>
  </property>
  <property fmtid="{D5CDD505-2E9C-101B-9397-08002B2CF9AE}" pid="3" name="KSOProductBuildVer">
    <vt:lpwstr>2052-12.1.0.21915</vt:lpwstr>
  </property>
</Properties>
</file>